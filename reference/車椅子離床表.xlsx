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172.17.1.201\部署共有フォルダ\療養支援部\医療病棟\1F医療病棟\個人フォルダ\池谷\"/>
    </mc:Choice>
  </mc:AlternateContent>
  <xr:revisionPtr revIDLastSave="0" documentId="13_ncr:1_{9E7FD82F-8029-4B54-8F7D-765D23E60643}" xr6:coauthVersionLast="47" xr6:coauthVersionMax="47" xr10:uidLastSave="{00000000-0000-0000-0000-000000000000}"/>
  <bookViews>
    <workbookView xWindow="-120" yWindow="-120" windowWidth="20730" windowHeight="11040" firstSheet="2" activeTab="2" xr2:uid="{CBF475EF-C8C5-403C-98AC-15D7D6318EC3}"/>
  </bookViews>
  <sheets>
    <sheet name="新バージョンについて" sheetId="7" r:id="rId1"/>
    <sheet name="緊急手入力用" sheetId="4" r:id="rId2"/>
    <sheet name="報告用" sheetId="1" r:id="rId3"/>
    <sheet name="Sheet1" sheetId="8" r:id="rId4"/>
    <sheet name="新A4乗車表" sheetId="5" r:id="rId5"/>
    <sheet name="手打ち用" sheetId="10" r:id="rId6"/>
    <sheet name="新A3乗車表" sheetId="6" r:id="rId7"/>
    <sheet name="旧乗車表" sheetId="2" r:id="rId8"/>
  </sheets>
  <definedNames>
    <definedName name="_xlnm.Print_Area" localSheetId="2">報告用!$A$1:$O$88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19" i="5" l="1"/>
  <c r="O119" i="5"/>
  <c r="N119" i="5"/>
  <c r="Q119" i="5" s="1"/>
  <c r="O118" i="5"/>
  <c r="P118" i="5" s="1"/>
  <c r="N118" i="5"/>
  <c r="Q118" i="5" s="1"/>
  <c r="O117" i="5"/>
  <c r="P117" i="5" s="1"/>
  <c r="N117" i="5"/>
  <c r="Q117" i="5" s="1"/>
  <c r="P116" i="5"/>
  <c r="O116" i="5"/>
  <c r="N116" i="5"/>
  <c r="Q116" i="5" s="1"/>
  <c r="O115" i="5"/>
  <c r="P115" i="5" s="1"/>
  <c r="N115" i="5"/>
  <c r="Q115" i="5" s="1"/>
  <c r="O114" i="5"/>
  <c r="P114" i="5" s="1"/>
  <c r="N114" i="5"/>
  <c r="Q114" i="5" s="1"/>
  <c r="P113" i="5"/>
  <c r="O113" i="5"/>
  <c r="N113" i="5"/>
  <c r="Q113" i="5" s="1"/>
  <c r="O112" i="5"/>
  <c r="P112" i="5" s="1"/>
  <c r="N112" i="5"/>
  <c r="Q112" i="5" s="1"/>
  <c r="O111" i="5"/>
  <c r="P111" i="5" s="1"/>
  <c r="N111" i="5"/>
  <c r="Q111" i="5" s="1"/>
  <c r="P110" i="5"/>
  <c r="O110" i="5"/>
  <c r="N110" i="5"/>
  <c r="Q110" i="5" s="1"/>
  <c r="O109" i="5"/>
  <c r="P109" i="5" s="1"/>
  <c r="N109" i="5"/>
  <c r="Q109" i="5" s="1"/>
  <c r="O108" i="5"/>
  <c r="P108" i="5" s="1"/>
  <c r="N108" i="5"/>
  <c r="Q108" i="5" s="1"/>
  <c r="I119" i="5"/>
  <c r="J119" i="5" s="1"/>
  <c r="H119" i="5"/>
  <c r="K119" i="5" s="1"/>
  <c r="I118" i="5"/>
  <c r="J118" i="5" s="1"/>
  <c r="H118" i="5"/>
  <c r="K118" i="5" s="1"/>
  <c r="K117" i="5"/>
  <c r="J117" i="5"/>
  <c r="I117" i="5"/>
  <c r="H117" i="5"/>
  <c r="I116" i="5"/>
  <c r="J116" i="5" s="1"/>
  <c r="H116" i="5"/>
  <c r="K116" i="5" s="1"/>
  <c r="I115" i="5"/>
  <c r="J115" i="5" s="1"/>
  <c r="H115" i="5"/>
  <c r="K115" i="5" s="1"/>
  <c r="K114" i="5"/>
  <c r="J114" i="5"/>
  <c r="I114" i="5"/>
  <c r="H114" i="5"/>
  <c r="I113" i="5"/>
  <c r="J113" i="5" s="1"/>
  <c r="H113" i="5"/>
  <c r="K113" i="5" s="1"/>
  <c r="I112" i="5"/>
  <c r="J112" i="5" s="1"/>
  <c r="H112" i="5"/>
  <c r="K112" i="5" s="1"/>
  <c r="K111" i="5"/>
  <c r="J111" i="5"/>
  <c r="I111" i="5"/>
  <c r="H111" i="5"/>
  <c r="I110" i="5"/>
  <c r="J110" i="5" s="1"/>
  <c r="H110" i="5"/>
  <c r="K110" i="5" s="1"/>
  <c r="I109" i="5"/>
  <c r="J109" i="5" s="1"/>
  <c r="H109" i="5"/>
  <c r="K109" i="5" s="1"/>
  <c r="K108" i="5"/>
  <c r="J108" i="5"/>
  <c r="I108" i="5"/>
  <c r="H108" i="5"/>
  <c r="C119" i="5"/>
  <c r="D119" i="5" s="1"/>
  <c r="B119" i="5"/>
  <c r="E119" i="5" s="1"/>
  <c r="C118" i="5"/>
  <c r="D118" i="5" s="1"/>
  <c r="B118" i="5"/>
  <c r="E118" i="5" s="1"/>
  <c r="E117" i="5"/>
  <c r="D117" i="5"/>
  <c r="C117" i="5"/>
  <c r="B117" i="5"/>
  <c r="C116" i="5"/>
  <c r="D116" i="5" s="1"/>
  <c r="B116" i="5"/>
  <c r="E116" i="5" s="1"/>
  <c r="C115" i="5"/>
  <c r="D115" i="5" s="1"/>
  <c r="B115" i="5"/>
  <c r="E115" i="5" s="1"/>
  <c r="E114" i="5"/>
  <c r="D114" i="5"/>
  <c r="C114" i="5"/>
  <c r="B114" i="5"/>
  <c r="C113" i="5"/>
  <c r="D113" i="5" s="1"/>
  <c r="B113" i="5"/>
  <c r="E113" i="5" s="1"/>
  <c r="C112" i="5"/>
  <c r="D112" i="5" s="1"/>
  <c r="B112" i="5"/>
  <c r="E112" i="5" s="1"/>
  <c r="E111" i="5"/>
  <c r="D111" i="5"/>
  <c r="C111" i="5"/>
  <c r="B111" i="5"/>
  <c r="C110" i="5"/>
  <c r="D110" i="5" s="1"/>
  <c r="B110" i="5"/>
  <c r="E110" i="5" s="1"/>
  <c r="C109" i="5"/>
  <c r="D109" i="5" s="1"/>
  <c r="B109" i="5"/>
  <c r="E109" i="5" s="1"/>
  <c r="E108" i="5"/>
  <c r="D108" i="5"/>
  <c r="C108" i="5"/>
  <c r="B108" i="5"/>
  <c r="O136" i="5"/>
  <c r="P136" i="5" s="1"/>
  <c r="N136" i="5"/>
  <c r="Q136" i="5" s="1"/>
  <c r="O135" i="5"/>
  <c r="P135" i="5" s="1"/>
  <c r="N135" i="5"/>
  <c r="Q135" i="5" s="1"/>
  <c r="O134" i="5"/>
  <c r="P134" i="5" s="1"/>
  <c r="N134" i="5"/>
  <c r="Q134" i="5" s="1"/>
  <c r="O133" i="5"/>
  <c r="P133" i="5" s="1"/>
  <c r="N133" i="5"/>
  <c r="Q133" i="5" s="1"/>
  <c r="O132" i="5"/>
  <c r="P132" i="5" s="1"/>
  <c r="N132" i="5"/>
  <c r="Q132" i="5" s="1"/>
  <c r="O131" i="5"/>
  <c r="P131" i="5" s="1"/>
  <c r="N131" i="5"/>
  <c r="Q131" i="5" s="1"/>
  <c r="O130" i="5"/>
  <c r="P130" i="5" s="1"/>
  <c r="N130" i="5"/>
  <c r="Q130" i="5" s="1"/>
  <c r="O129" i="5"/>
  <c r="P129" i="5" s="1"/>
  <c r="N129" i="5"/>
  <c r="Q129" i="5" s="1"/>
  <c r="O128" i="5"/>
  <c r="P128" i="5" s="1"/>
  <c r="N128" i="5"/>
  <c r="Q128" i="5" s="1"/>
  <c r="O127" i="5"/>
  <c r="P127" i="5" s="1"/>
  <c r="N127" i="5"/>
  <c r="Q127" i="5" s="1"/>
  <c r="O126" i="5"/>
  <c r="P126" i="5" s="1"/>
  <c r="N126" i="5"/>
  <c r="Q126" i="5" s="1"/>
  <c r="O125" i="5"/>
  <c r="P125" i="5" s="1"/>
  <c r="N125" i="5"/>
  <c r="Q125" i="5" s="1"/>
  <c r="O124" i="5"/>
  <c r="P124" i="5" s="1"/>
  <c r="N124" i="5"/>
  <c r="Q124" i="5" s="1"/>
  <c r="O123" i="5"/>
  <c r="P123" i="5" s="1"/>
  <c r="N123" i="5"/>
  <c r="Q123" i="5" s="1"/>
  <c r="O122" i="5"/>
  <c r="P122" i="5" s="1"/>
  <c r="N122" i="5"/>
  <c r="Q122" i="5" s="1"/>
  <c r="O121" i="5"/>
  <c r="P121" i="5" s="1"/>
  <c r="N121" i="5"/>
  <c r="Q121" i="5" s="1"/>
  <c r="K136" i="5"/>
  <c r="I136" i="5"/>
  <c r="J136" i="5" s="1"/>
  <c r="H136" i="5"/>
  <c r="I135" i="5"/>
  <c r="J135" i="5" s="1"/>
  <c r="H135" i="5"/>
  <c r="K135" i="5" s="1"/>
  <c r="I134" i="5"/>
  <c r="J134" i="5" s="1"/>
  <c r="H134" i="5"/>
  <c r="K134" i="5" s="1"/>
  <c r="K133" i="5"/>
  <c r="I133" i="5"/>
  <c r="J133" i="5" s="1"/>
  <c r="H133" i="5"/>
  <c r="I132" i="5"/>
  <c r="J132" i="5" s="1"/>
  <c r="H132" i="5"/>
  <c r="K132" i="5" s="1"/>
  <c r="I131" i="5"/>
  <c r="J131" i="5" s="1"/>
  <c r="H131" i="5"/>
  <c r="K131" i="5" s="1"/>
  <c r="K130" i="5"/>
  <c r="I130" i="5"/>
  <c r="J130" i="5" s="1"/>
  <c r="H130" i="5"/>
  <c r="I129" i="5"/>
  <c r="J129" i="5" s="1"/>
  <c r="H129" i="5"/>
  <c r="K129" i="5" s="1"/>
  <c r="I128" i="5"/>
  <c r="J128" i="5" s="1"/>
  <c r="H128" i="5"/>
  <c r="K128" i="5" s="1"/>
  <c r="K127" i="5"/>
  <c r="I127" i="5"/>
  <c r="J127" i="5" s="1"/>
  <c r="H127" i="5"/>
  <c r="I126" i="5"/>
  <c r="J126" i="5" s="1"/>
  <c r="H126" i="5"/>
  <c r="K126" i="5" s="1"/>
  <c r="I125" i="5"/>
  <c r="J125" i="5" s="1"/>
  <c r="H125" i="5"/>
  <c r="K125" i="5" s="1"/>
  <c r="K124" i="5"/>
  <c r="I124" i="5"/>
  <c r="J124" i="5" s="1"/>
  <c r="H124" i="5"/>
  <c r="I123" i="5"/>
  <c r="J123" i="5" s="1"/>
  <c r="H123" i="5"/>
  <c r="K123" i="5" s="1"/>
  <c r="I122" i="5"/>
  <c r="J122" i="5" s="1"/>
  <c r="H122" i="5"/>
  <c r="K122" i="5" s="1"/>
  <c r="K121" i="5"/>
  <c r="I121" i="5"/>
  <c r="J121" i="5" s="1"/>
  <c r="H121" i="5"/>
  <c r="C136" i="5"/>
  <c r="D136" i="5" s="1"/>
  <c r="B136" i="5"/>
  <c r="E136" i="5" s="1"/>
  <c r="C135" i="5"/>
  <c r="D135" i="5" s="1"/>
  <c r="B135" i="5"/>
  <c r="E135" i="5" s="1"/>
  <c r="C134" i="5"/>
  <c r="D134" i="5" s="1"/>
  <c r="B134" i="5"/>
  <c r="E134" i="5" s="1"/>
  <c r="C133" i="5"/>
  <c r="D133" i="5" s="1"/>
  <c r="B133" i="5"/>
  <c r="E133" i="5" s="1"/>
  <c r="C132" i="5"/>
  <c r="D132" i="5" s="1"/>
  <c r="B132" i="5"/>
  <c r="E132" i="5" s="1"/>
  <c r="C131" i="5"/>
  <c r="D131" i="5" s="1"/>
  <c r="B131" i="5"/>
  <c r="E131" i="5" s="1"/>
  <c r="C130" i="5"/>
  <c r="D130" i="5" s="1"/>
  <c r="B130" i="5"/>
  <c r="E130" i="5" s="1"/>
  <c r="C129" i="5"/>
  <c r="D129" i="5" s="1"/>
  <c r="B129" i="5"/>
  <c r="E129" i="5" s="1"/>
  <c r="C128" i="5"/>
  <c r="D128" i="5" s="1"/>
  <c r="B128" i="5"/>
  <c r="E128" i="5" s="1"/>
  <c r="C127" i="5"/>
  <c r="D127" i="5" s="1"/>
  <c r="B127" i="5"/>
  <c r="E127" i="5" s="1"/>
  <c r="C126" i="5"/>
  <c r="D126" i="5" s="1"/>
  <c r="B126" i="5"/>
  <c r="E126" i="5" s="1"/>
  <c r="C125" i="5"/>
  <c r="D125" i="5" s="1"/>
  <c r="B125" i="5"/>
  <c r="E125" i="5" s="1"/>
  <c r="C124" i="5"/>
  <c r="D124" i="5" s="1"/>
  <c r="B124" i="5"/>
  <c r="E124" i="5" s="1"/>
  <c r="C123" i="5"/>
  <c r="D123" i="5" s="1"/>
  <c r="B123" i="5"/>
  <c r="E123" i="5" s="1"/>
  <c r="C122" i="5"/>
  <c r="D122" i="5" s="1"/>
  <c r="B122" i="5"/>
  <c r="E122" i="5" s="1"/>
  <c r="C121" i="5"/>
  <c r="D121" i="5" s="1"/>
  <c r="B121" i="5"/>
  <c r="E121" i="5" s="1"/>
  <c r="O102" i="5"/>
  <c r="P102" i="5" s="1"/>
  <c r="N102" i="5"/>
  <c r="Q102" i="5" s="1"/>
  <c r="O101" i="5"/>
  <c r="P101" i="5" s="1"/>
  <c r="N101" i="5"/>
  <c r="Q101" i="5" s="1"/>
  <c r="O100" i="5"/>
  <c r="P100" i="5" s="1"/>
  <c r="N100" i="5"/>
  <c r="Q100" i="5" s="1"/>
  <c r="O99" i="5"/>
  <c r="P99" i="5" s="1"/>
  <c r="N99" i="5"/>
  <c r="Q99" i="5" s="1"/>
  <c r="O98" i="5"/>
  <c r="P98" i="5" s="1"/>
  <c r="N98" i="5"/>
  <c r="Q98" i="5" s="1"/>
  <c r="O97" i="5"/>
  <c r="P97" i="5" s="1"/>
  <c r="N97" i="5"/>
  <c r="Q97" i="5" s="1"/>
  <c r="O96" i="5"/>
  <c r="P96" i="5" s="1"/>
  <c r="N96" i="5"/>
  <c r="Q96" i="5" s="1"/>
  <c r="O95" i="5"/>
  <c r="P95" i="5" s="1"/>
  <c r="N95" i="5"/>
  <c r="Q95" i="5" s="1"/>
  <c r="O94" i="5"/>
  <c r="P94" i="5" s="1"/>
  <c r="N94" i="5"/>
  <c r="Q94" i="5" s="1"/>
  <c r="O93" i="5"/>
  <c r="P93" i="5" s="1"/>
  <c r="N93" i="5"/>
  <c r="Q93" i="5" s="1"/>
  <c r="O92" i="5"/>
  <c r="P92" i="5" s="1"/>
  <c r="N92" i="5"/>
  <c r="Q92" i="5" s="1"/>
  <c r="O91" i="5"/>
  <c r="P91" i="5" s="1"/>
  <c r="N91" i="5"/>
  <c r="Q91" i="5" s="1"/>
  <c r="O90" i="5"/>
  <c r="P90" i="5" s="1"/>
  <c r="N90" i="5"/>
  <c r="Q90" i="5" s="1"/>
  <c r="O89" i="5"/>
  <c r="P89" i="5" s="1"/>
  <c r="N89" i="5"/>
  <c r="Q89" i="5" s="1"/>
  <c r="O88" i="5"/>
  <c r="P88" i="5" s="1"/>
  <c r="N88" i="5"/>
  <c r="Q88" i="5" s="1"/>
  <c r="O87" i="5"/>
  <c r="P87" i="5" s="1"/>
  <c r="N87" i="5"/>
  <c r="Q87" i="5" s="1"/>
  <c r="I102" i="5"/>
  <c r="J102" i="5" s="1"/>
  <c r="H102" i="5"/>
  <c r="K102" i="5" s="1"/>
  <c r="I101" i="5"/>
  <c r="J101" i="5" s="1"/>
  <c r="H101" i="5"/>
  <c r="K101" i="5" s="1"/>
  <c r="I100" i="5"/>
  <c r="J100" i="5" s="1"/>
  <c r="H100" i="5"/>
  <c r="K100" i="5" s="1"/>
  <c r="K99" i="5"/>
  <c r="I99" i="5"/>
  <c r="J99" i="5" s="1"/>
  <c r="H99" i="5"/>
  <c r="I98" i="5"/>
  <c r="J98" i="5" s="1"/>
  <c r="H98" i="5"/>
  <c r="K98" i="5" s="1"/>
  <c r="I97" i="5"/>
  <c r="J97" i="5" s="1"/>
  <c r="H97" i="5"/>
  <c r="K97" i="5" s="1"/>
  <c r="K96" i="5"/>
  <c r="I96" i="5"/>
  <c r="J96" i="5" s="1"/>
  <c r="H96" i="5"/>
  <c r="I95" i="5"/>
  <c r="J95" i="5" s="1"/>
  <c r="H95" i="5"/>
  <c r="K95" i="5" s="1"/>
  <c r="I94" i="5"/>
  <c r="J94" i="5" s="1"/>
  <c r="H94" i="5"/>
  <c r="K94" i="5" s="1"/>
  <c r="I93" i="5"/>
  <c r="J93" i="5" s="1"/>
  <c r="H93" i="5"/>
  <c r="K93" i="5" s="1"/>
  <c r="I92" i="5"/>
  <c r="J92" i="5" s="1"/>
  <c r="H92" i="5"/>
  <c r="K92" i="5" s="1"/>
  <c r="I91" i="5"/>
  <c r="J91" i="5" s="1"/>
  <c r="H91" i="5"/>
  <c r="K91" i="5" s="1"/>
  <c r="I90" i="5"/>
  <c r="J90" i="5" s="1"/>
  <c r="H90" i="5"/>
  <c r="K90" i="5" s="1"/>
  <c r="I89" i="5"/>
  <c r="J89" i="5" s="1"/>
  <c r="H89" i="5"/>
  <c r="K89" i="5" s="1"/>
  <c r="I88" i="5"/>
  <c r="J88" i="5" s="1"/>
  <c r="H88" i="5"/>
  <c r="K88" i="5" s="1"/>
  <c r="I87" i="5"/>
  <c r="J87" i="5" s="1"/>
  <c r="H87" i="5"/>
  <c r="K87" i="5" s="1"/>
  <c r="E102" i="5"/>
  <c r="C102" i="5"/>
  <c r="D102" i="5" s="1"/>
  <c r="B102" i="5"/>
  <c r="C101" i="5"/>
  <c r="D101" i="5" s="1"/>
  <c r="B101" i="5"/>
  <c r="E101" i="5" s="1"/>
  <c r="E100" i="5"/>
  <c r="C100" i="5"/>
  <c r="D100" i="5" s="1"/>
  <c r="B100" i="5"/>
  <c r="C99" i="5"/>
  <c r="D99" i="5" s="1"/>
  <c r="B99" i="5"/>
  <c r="E99" i="5" s="1"/>
  <c r="O68" i="5"/>
  <c r="P68" i="5" s="1"/>
  <c r="N68" i="5"/>
  <c r="Q68" i="5" s="1"/>
  <c r="O67" i="5"/>
  <c r="P67" i="5" s="1"/>
  <c r="N67" i="5"/>
  <c r="Q67" i="5" s="1"/>
  <c r="O66" i="5"/>
  <c r="P66" i="5" s="1"/>
  <c r="N66" i="5"/>
  <c r="Q66" i="5" s="1"/>
  <c r="O65" i="5"/>
  <c r="P65" i="5" s="1"/>
  <c r="N65" i="5"/>
  <c r="Q65" i="5" s="1"/>
  <c r="O64" i="5"/>
  <c r="P64" i="5" s="1"/>
  <c r="N64" i="5"/>
  <c r="Q64" i="5" s="1"/>
  <c r="O63" i="5"/>
  <c r="P63" i="5" s="1"/>
  <c r="N63" i="5"/>
  <c r="Q63" i="5" s="1"/>
  <c r="O62" i="5"/>
  <c r="P62" i="5" s="1"/>
  <c r="N62" i="5"/>
  <c r="Q62" i="5" s="1"/>
  <c r="O61" i="5"/>
  <c r="P61" i="5" s="1"/>
  <c r="N61" i="5"/>
  <c r="Q61" i="5" s="1"/>
  <c r="O60" i="5"/>
  <c r="P60" i="5" s="1"/>
  <c r="N60" i="5"/>
  <c r="Q60" i="5" s="1"/>
  <c r="O59" i="5"/>
  <c r="P59" i="5" s="1"/>
  <c r="N59" i="5"/>
  <c r="Q59" i="5" s="1"/>
  <c r="O58" i="5"/>
  <c r="P58" i="5" s="1"/>
  <c r="N58" i="5"/>
  <c r="Q58" i="5" s="1"/>
  <c r="O57" i="5"/>
  <c r="P57" i="5" s="1"/>
  <c r="N57" i="5"/>
  <c r="Q57" i="5" s="1"/>
  <c r="O56" i="5"/>
  <c r="P56" i="5" s="1"/>
  <c r="N56" i="5"/>
  <c r="Q56" i="5" s="1"/>
  <c r="O55" i="5"/>
  <c r="P55" i="5" s="1"/>
  <c r="N55" i="5"/>
  <c r="Q55" i="5" s="1"/>
  <c r="O54" i="5"/>
  <c r="P54" i="5" s="1"/>
  <c r="N54" i="5"/>
  <c r="Q54" i="5" s="1"/>
  <c r="O53" i="5"/>
  <c r="P53" i="5" s="1"/>
  <c r="N53" i="5"/>
  <c r="Q53" i="5" s="1"/>
  <c r="I68" i="5"/>
  <c r="J68" i="5" s="1"/>
  <c r="H68" i="5"/>
  <c r="K68" i="5" s="1"/>
  <c r="I67" i="5"/>
  <c r="J67" i="5" s="1"/>
  <c r="H67" i="5"/>
  <c r="K67" i="5" s="1"/>
  <c r="I66" i="5"/>
  <c r="J66" i="5" s="1"/>
  <c r="H66" i="5"/>
  <c r="K66" i="5" s="1"/>
  <c r="I65" i="5"/>
  <c r="J65" i="5" s="1"/>
  <c r="H65" i="5"/>
  <c r="K65" i="5" s="1"/>
  <c r="I64" i="5"/>
  <c r="J64" i="5" s="1"/>
  <c r="H64" i="5"/>
  <c r="K64" i="5" s="1"/>
  <c r="I63" i="5"/>
  <c r="J63" i="5" s="1"/>
  <c r="H63" i="5"/>
  <c r="K63" i="5" s="1"/>
  <c r="I62" i="5"/>
  <c r="J62" i="5" s="1"/>
  <c r="H62" i="5"/>
  <c r="K62" i="5" s="1"/>
  <c r="K61" i="5"/>
  <c r="I61" i="5"/>
  <c r="J61" i="5" s="1"/>
  <c r="H61" i="5"/>
  <c r="I60" i="5"/>
  <c r="J60" i="5" s="1"/>
  <c r="H60" i="5"/>
  <c r="K60" i="5" s="1"/>
  <c r="I59" i="5"/>
  <c r="J59" i="5" s="1"/>
  <c r="H59" i="5"/>
  <c r="K59" i="5" s="1"/>
  <c r="I58" i="5"/>
  <c r="J58" i="5" s="1"/>
  <c r="H58" i="5"/>
  <c r="K58" i="5" s="1"/>
  <c r="I57" i="5"/>
  <c r="J57" i="5" s="1"/>
  <c r="H57" i="5"/>
  <c r="K57" i="5" s="1"/>
  <c r="I56" i="5"/>
  <c r="J56" i="5" s="1"/>
  <c r="H56" i="5"/>
  <c r="K56" i="5" s="1"/>
  <c r="I55" i="5"/>
  <c r="J55" i="5" s="1"/>
  <c r="H55" i="5"/>
  <c r="K55" i="5" s="1"/>
  <c r="I54" i="5"/>
  <c r="J54" i="5" s="1"/>
  <c r="H54" i="5"/>
  <c r="K54" i="5" s="1"/>
  <c r="I53" i="5"/>
  <c r="J53" i="5" s="1"/>
  <c r="H53" i="5"/>
  <c r="K53" i="5" s="1"/>
  <c r="C68" i="5"/>
  <c r="D68" i="5" s="1"/>
  <c r="B68" i="5"/>
  <c r="E68" i="5" s="1"/>
  <c r="C67" i="5"/>
  <c r="D67" i="5" s="1"/>
  <c r="B67" i="5"/>
  <c r="E67" i="5" s="1"/>
  <c r="C66" i="5"/>
  <c r="D66" i="5" s="1"/>
  <c r="B66" i="5"/>
  <c r="E66" i="5" s="1"/>
  <c r="C65" i="5"/>
  <c r="D65" i="5" s="1"/>
  <c r="B65" i="5"/>
  <c r="E65" i="5" s="1"/>
  <c r="C64" i="5"/>
  <c r="D64" i="5" s="1"/>
  <c r="B64" i="5"/>
  <c r="E64" i="5" s="1"/>
  <c r="C63" i="5"/>
  <c r="D63" i="5" s="1"/>
  <c r="B63" i="5"/>
  <c r="E63" i="5" s="1"/>
  <c r="C62" i="5"/>
  <c r="D62" i="5" s="1"/>
  <c r="B62" i="5"/>
  <c r="E62" i="5" s="1"/>
  <c r="C61" i="5"/>
  <c r="D61" i="5" s="1"/>
  <c r="B61" i="5"/>
  <c r="E61" i="5" s="1"/>
  <c r="C60" i="5"/>
  <c r="D60" i="5" s="1"/>
  <c r="B60" i="5"/>
  <c r="E60" i="5" s="1"/>
  <c r="C59" i="5"/>
  <c r="D59" i="5" s="1"/>
  <c r="B59" i="5"/>
  <c r="E59" i="5" s="1"/>
  <c r="C58" i="5"/>
  <c r="D58" i="5" s="1"/>
  <c r="B58" i="5"/>
  <c r="E58" i="5" s="1"/>
  <c r="C57" i="5"/>
  <c r="D57" i="5" s="1"/>
  <c r="B57" i="5"/>
  <c r="E57" i="5" s="1"/>
  <c r="C56" i="5"/>
  <c r="D56" i="5" s="1"/>
  <c r="B56" i="5"/>
  <c r="E56" i="5" s="1"/>
  <c r="C55" i="5"/>
  <c r="D55" i="5" s="1"/>
  <c r="B55" i="5"/>
  <c r="E55" i="5" s="1"/>
  <c r="C54" i="5"/>
  <c r="D54" i="5" s="1"/>
  <c r="B54" i="5"/>
  <c r="E54" i="5" s="1"/>
  <c r="C53" i="5"/>
  <c r="D53" i="5" s="1"/>
  <c r="B53" i="5"/>
  <c r="E53" i="5" s="1"/>
  <c r="O34" i="5"/>
  <c r="P34" i="5" s="1"/>
  <c r="N34" i="5"/>
  <c r="Q34" i="5" s="1"/>
  <c r="O33" i="5"/>
  <c r="P33" i="5" s="1"/>
  <c r="N33" i="5"/>
  <c r="Q33" i="5" s="1"/>
  <c r="O32" i="5"/>
  <c r="P32" i="5" s="1"/>
  <c r="N32" i="5"/>
  <c r="Q32" i="5" s="1"/>
  <c r="O31" i="5"/>
  <c r="P31" i="5" s="1"/>
  <c r="N31" i="5"/>
  <c r="Q31" i="5" s="1"/>
  <c r="O30" i="5"/>
  <c r="P30" i="5" s="1"/>
  <c r="N30" i="5"/>
  <c r="Q30" i="5" s="1"/>
  <c r="O29" i="5"/>
  <c r="P29" i="5" s="1"/>
  <c r="N29" i="5"/>
  <c r="Q29" i="5" s="1"/>
  <c r="O28" i="5"/>
  <c r="P28" i="5" s="1"/>
  <c r="N28" i="5"/>
  <c r="Q28" i="5" s="1"/>
  <c r="O27" i="5"/>
  <c r="P27" i="5" s="1"/>
  <c r="N27" i="5"/>
  <c r="Q27" i="5" s="1"/>
  <c r="O26" i="5"/>
  <c r="P26" i="5" s="1"/>
  <c r="N26" i="5"/>
  <c r="Q26" i="5" s="1"/>
  <c r="O25" i="5"/>
  <c r="P25" i="5" s="1"/>
  <c r="N25" i="5"/>
  <c r="Q25" i="5" s="1"/>
  <c r="O24" i="5"/>
  <c r="P24" i="5" s="1"/>
  <c r="N24" i="5"/>
  <c r="Q24" i="5" s="1"/>
  <c r="O23" i="5"/>
  <c r="P23" i="5" s="1"/>
  <c r="N23" i="5"/>
  <c r="Q23" i="5" s="1"/>
  <c r="O22" i="5"/>
  <c r="P22" i="5" s="1"/>
  <c r="N22" i="5"/>
  <c r="Q22" i="5" s="1"/>
  <c r="O21" i="5"/>
  <c r="P21" i="5" s="1"/>
  <c r="N21" i="5"/>
  <c r="Q21" i="5" s="1"/>
  <c r="O20" i="5"/>
  <c r="P20" i="5" s="1"/>
  <c r="N20" i="5"/>
  <c r="Q20" i="5" s="1"/>
  <c r="O19" i="5"/>
  <c r="P19" i="5" s="1"/>
  <c r="N19" i="5"/>
  <c r="Q19" i="5" s="1"/>
  <c r="I34" i="5"/>
  <c r="J34" i="5" s="1"/>
  <c r="H34" i="5"/>
  <c r="K34" i="5" s="1"/>
  <c r="I33" i="5"/>
  <c r="J33" i="5" s="1"/>
  <c r="H33" i="5"/>
  <c r="K33" i="5" s="1"/>
  <c r="I32" i="5"/>
  <c r="J32" i="5" s="1"/>
  <c r="H32" i="5"/>
  <c r="K32" i="5" s="1"/>
  <c r="I31" i="5"/>
  <c r="J31" i="5" s="1"/>
  <c r="H31" i="5"/>
  <c r="K31" i="5" s="1"/>
  <c r="I30" i="5"/>
  <c r="J30" i="5" s="1"/>
  <c r="H30" i="5"/>
  <c r="K30" i="5" s="1"/>
  <c r="I29" i="5"/>
  <c r="J29" i="5" s="1"/>
  <c r="H29" i="5"/>
  <c r="K29" i="5" s="1"/>
  <c r="I28" i="5"/>
  <c r="J28" i="5" s="1"/>
  <c r="H28" i="5"/>
  <c r="K28" i="5" s="1"/>
  <c r="I27" i="5"/>
  <c r="J27" i="5" s="1"/>
  <c r="H27" i="5"/>
  <c r="K27" i="5" s="1"/>
  <c r="I26" i="5"/>
  <c r="J26" i="5" s="1"/>
  <c r="H26" i="5"/>
  <c r="K26" i="5" s="1"/>
  <c r="I25" i="5"/>
  <c r="J25" i="5" s="1"/>
  <c r="H25" i="5"/>
  <c r="K25" i="5" s="1"/>
  <c r="I24" i="5"/>
  <c r="J24" i="5" s="1"/>
  <c r="H24" i="5"/>
  <c r="K24" i="5" s="1"/>
  <c r="I23" i="5"/>
  <c r="J23" i="5" s="1"/>
  <c r="H23" i="5"/>
  <c r="K23" i="5" s="1"/>
  <c r="I22" i="5"/>
  <c r="J22" i="5" s="1"/>
  <c r="H22" i="5"/>
  <c r="K22" i="5" s="1"/>
  <c r="I21" i="5"/>
  <c r="J21" i="5" s="1"/>
  <c r="H21" i="5"/>
  <c r="K21" i="5" s="1"/>
  <c r="I20" i="5"/>
  <c r="J20" i="5" s="1"/>
  <c r="H20" i="5"/>
  <c r="K20" i="5" s="1"/>
  <c r="I19" i="5"/>
  <c r="J19" i="5" s="1"/>
  <c r="H19" i="5"/>
  <c r="K19" i="5" s="1"/>
  <c r="D34" i="5"/>
  <c r="C34" i="5"/>
  <c r="B34" i="5"/>
  <c r="E34" i="5" s="1"/>
  <c r="C33" i="5"/>
  <c r="D33" i="5" s="1"/>
  <c r="B33" i="5"/>
  <c r="E33" i="5" s="1"/>
  <c r="C32" i="5"/>
  <c r="D32" i="5" s="1"/>
  <c r="B32" i="5"/>
  <c r="E32" i="5" s="1"/>
  <c r="C31" i="5"/>
  <c r="D31" i="5" s="1"/>
  <c r="B31" i="5"/>
  <c r="E31" i="5" s="1"/>
  <c r="O85" i="5"/>
  <c r="P85" i="5" s="1"/>
  <c r="N85" i="5"/>
  <c r="Q85" i="5" s="1"/>
  <c r="O84" i="5"/>
  <c r="P84" i="5" s="1"/>
  <c r="N84" i="5"/>
  <c r="Q84" i="5" s="1"/>
  <c r="O83" i="5"/>
  <c r="P83" i="5" s="1"/>
  <c r="N83" i="5"/>
  <c r="Q83" i="5" s="1"/>
  <c r="O82" i="5"/>
  <c r="P82" i="5" s="1"/>
  <c r="N82" i="5"/>
  <c r="Q82" i="5" s="1"/>
  <c r="O81" i="5"/>
  <c r="P81" i="5" s="1"/>
  <c r="N81" i="5"/>
  <c r="Q81" i="5" s="1"/>
  <c r="O80" i="5"/>
  <c r="P80" i="5" s="1"/>
  <c r="N80" i="5"/>
  <c r="Q80" i="5" s="1"/>
  <c r="O79" i="5"/>
  <c r="P79" i="5" s="1"/>
  <c r="N79" i="5"/>
  <c r="Q79" i="5" s="1"/>
  <c r="O78" i="5"/>
  <c r="P78" i="5" s="1"/>
  <c r="N78" i="5"/>
  <c r="Q78" i="5" s="1"/>
  <c r="O77" i="5"/>
  <c r="P77" i="5" s="1"/>
  <c r="N77" i="5"/>
  <c r="Q77" i="5" s="1"/>
  <c r="O76" i="5"/>
  <c r="P76" i="5" s="1"/>
  <c r="N76" i="5"/>
  <c r="Q76" i="5" s="1"/>
  <c r="O75" i="5"/>
  <c r="P75" i="5" s="1"/>
  <c r="N75" i="5"/>
  <c r="Q75" i="5" s="1"/>
  <c r="O74" i="5"/>
  <c r="P74" i="5" s="1"/>
  <c r="N74" i="5"/>
  <c r="Q74" i="5" s="1"/>
  <c r="I85" i="5"/>
  <c r="J85" i="5" s="1"/>
  <c r="H85" i="5"/>
  <c r="K85" i="5" s="1"/>
  <c r="I84" i="5"/>
  <c r="J84" i="5" s="1"/>
  <c r="H84" i="5"/>
  <c r="K84" i="5" s="1"/>
  <c r="I83" i="5"/>
  <c r="J83" i="5" s="1"/>
  <c r="H83" i="5"/>
  <c r="K83" i="5" s="1"/>
  <c r="I82" i="5"/>
  <c r="J82" i="5" s="1"/>
  <c r="H82" i="5"/>
  <c r="K82" i="5" s="1"/>
  <c r="I81" i="5"/>
  <c r="J81" i="5" s="1"/>
  <c r="H81" i="5"/>
  <c r="K81" i="5" s="1"/>
  <c r="I80" i="5"/>
  <c r="J80" i="5" s="1"/>
  <c r="H80" i="5"/>
  <c r="K80" i="5" s="1"/>
  <c r="I79" i="5"/>
  <c r="J79" i="5" s="1"/>
  <c r="H79" i="5"/>
  <c r="K79" i="5" s="1"/>
  <c r="I78" i="5"/>
  <c r="J78" i="5" s="1"/>
  <c r="H78" i="5"/>
  <c r="K78" i="5" s="1"/>
  <c r="I77" i="5"/>
  <c r="J77" i="5" s="1"/>
  <c r="H77" i="5"/>
  <c r="K77" i="5" s="1"/>
  <c r="I76" i="5"/>
  <c r="J76" i="5" s="1"/>
  <c r="H76" i="5"/>
  <c r="K76" i="5" s="1"/>
  <c r="I75" i="5"/>
  <c r="J75" i="5" s="1"/>
  <c r="H75" i="5"/>
  <c r="K75" i="5" s="1"/>
  <c r="I74" i="5"/>
  <c r="J74" i="5" s="1"/>
  <c r="H74" i="5"/>
  <c r="K74" i="5" s="1"/>
  <c r="C89" i="5"/>
  <c r="D89" i="5" s="1"/>
  <c r="B89" i="5"/>
  <c r="E89" i="5" s="1"/>
  <c r="C88" i="5"/>
  <c r="D88" i="5" s="1"/>
  <c r="B88" i="5"/>
  <c r="E88" i="5" s="1"/>
  <c r="C87" i="5"/>
  <c r="D87" i="5" s="1"/>
  <c r="B87" i="5"/>
  <c r="E87" i="5" s="1"/>
  <c r="C86" i="5"/>
  <c r="D86" i="5" s="1"/>
  <c r="B86" i="5"/>
  <c r="E86" i="5" s="1"/>
  <c r="C85" i="5"/>
  <c r="D85" i="5" s="1"/>
  <c r="B85" i="5"/>
  <c r="E85" i="5" s="1"/>
  <c r="C84" i="5"/>
  <c r="D84" i="5" s="1"/>
  <c r="B84" i="5"/>
  <c r="E84" i="5" s="1"/>
  <c r="C83" i="5"/>
  <c r="D83" i="5" s="1"/>
  <c r="B83" i="5"/>
  <c r="E83" i="5" s="1"/>
  <c r="C82" i="5"/>
  <c r="D82" i="5" s="1"/>
  <c r="B82" i="5"/>
  <c r="E82" i="5" s="1"/>
  <c r="C81" i="5"/>
  <c r="D81" i="5" s="1"/>
  <c r="B81" i="5"/>
  <c r="E81" i="5" s="1"/>
  <c r="C80" i="5"/>
  <c r="D80" i="5" s="1"/>
  <c r="B80" i="5"/>
  <c r="E80" i="5" s="1"/>
  <c r="C79" i="5"/>
  <c r="D79" i="5" s="1"/>
  <c r="B79" i="5"/>
  <c r="E79" i="5" s="1"/>
  <c r="C78" i="5"/>
  <c r="D78" i="5" s="1"/>
  <c r="B78" i="5"/>
  <c r="E78" i="5" s="1"/>
  <c r="C77" i="5"/>
  <c r="D77" i="5" s="1"/>
  <c r="B77" i="5"/>
  <c r="E77" i="5" s="1"/>
  <c r="C76" i="5"/>
  <c r="D76" i="5" s="1"/>
  <c r="B76" i="5"/>
  <c r="E76" i="5" s="1"/>
  <c r="C75" i="5"/>
  <c r="D75" i="5" s="1"/>
  <c r="B75" i="5"/>
  <c r="E75" i="5" s="1"/>
  <c r="C74" i="5"/>
  <c r="D74" i="5" s="1"/>
  <c r="B74" i="5"/>
  <c r="E74" i="5" s="1"/>
  <c r="AL5" i="1"/>
  <c r="AN5" i="1"/>
  <c r="AM6" i="1"/>
  <c r="AN6" i="1"/>
  <c r="AO6" i="1"/>
  <c r="AK8" i="1"/>
  <c r="AK9" i="1"/>
  <c r="AM9" i="1"/>
  <c r="AN9" i="1"/>
  <c r="AO9" i="1"/>
  <c r="AM11" i="1"/>
  <c r="AN11" i="1"/>
  <c r="AO11" i="1"/>
  <c r="AK12" i="1"/>
  <c r="AM12" i="1"/>
  <c r="AO12" i="1"/>
  <c r="AN13" i="1"/>
  <c r="AL14" i="1"/>
  <c r="AM14" i="1"/>
  <c r="AN14" i="1"/>
  <c r="AO14" i="1"/>
  <c r="AL17" i="1"/>
  <c r="AN17" i="1"/>
  <c r="AM18" i="1"/>
  <c r="AN18" i="1"/>
  <c r="AK19" i="1"/>
  <c r="AL19" i="1"/>
  <c r="AN19" i="1"/>
  <c r="AL21" i="1"/>
  <c r="AM21" i="1"/>
  <c r="AO21" i="1"/>
  <c r="AK22" i="1"/>
  <c r="AM22" i="1"/>
  <c r="AN25" i="1"/>
  <c r="AO25" i="1"/>
  <c r="AK26" i="1"/>
  <c r="AL26" i="1"/>
  <c r="AM26" i="1"/>
  <c r="AO26" i="1"/>
  <c r="AL27" i="1"/>
  <c r="AN28" i="1"/>
  <c r="AO28" i="1"/>
  <c r="AN30" i="1"/>
  <c r="AO30" i="1"/>
  <c r="AL31" i="1"/>
  <c r="AM31" i="1"/>
  <c r="AN31" i="1"/>
  <c r="AK34" i="1"/>
  <c r="AM34" i="1"/>
  <c r="AL35" i="1"/>
  <c r="AM35" i="1"/>
  <c r="AN35" i="1"/>
  <c r="AO35" i="1"/>
  <c r="AN37" i="1"/>
  <c r="AO37" i="1"/>
  <c r="AL38" i="1"/>
  <c r="AN38" i="1"/>
  <c r="AL39" i="1"/>
  <c r="AF5" i="1"/>
  <c r="AH5" i="1"/>
  <c r="AJ5" i="1"/>
  <c r="AJ6" i="1"/>
  <c r="AF7" i="1"/>
  <c r="AF8" i="1"/>
  <c r="AH8" i="1"/>
  <c r="AH9" i="1"/>
  <c r="AI9" i="1"/>
  <c r="AF10" i="1"/>
  <c r="AH10" i="1"/>
  <c r="AG12" i="1"/>
  <c r="AH12" i="1"/>
  <c r="AI12" i="1"/>
  <c r="AJ12" i="1"/>
  <c r="AI14" i="1"/>
  <c r="AJ14" i="1"/>
  <c r="AF15" i="1"/>
  <c r="AG15" i="1"/>
  <c r="AH15" i="1"/>
  <c r="AI15" i="1"/>
  <c r="AI17" i="1"/>
  <c r="AJ17" i="1"/>
  <c r="AF20" i="1"/>
  <c r="AF22" i="1"/>
  <c r="AG22" i="1"/>
  <c r="AG24" i="1"/>
  <c r="AH24" i="1"/>
  <c r="AJ24" i="1"/>
  <c r="AF25" i="1"/>
  <c r="AG25" i="1"/>
  <c r="AI25" i="1"/>
  <c r="AF27" i="1"/>
  <c r="AG27" i="1"/>
  <c r="AI27" i="1"/>
  <c r="AF28" i="1"/>
  <c r="AH28" i="1"/>
  <c r="AF32" i="1"/>
  <c r="AI34" i="1"/>
  <c r="AJ34" i="1"/>
  <c r="AG36" i="1"/>
  <c r="AF38" i="1"/>
  <c r="AG38" i="1"/>
  <c r="AI38" i="1"/>
  <c r="AD15" i="1"/>
  <c r="AE15" i="1"/>
  <c r="AC22" i="1"/>
  <c r="AE22" i="1"/>
  <c r="AD23" i="1"/>
  <c r="AE25" i="1"/>
  <c r="AC28" i="1"/>
  <c r="AC32" i="1"/>
  <c r="AE32" i="1"/>
  <c r="AC38" i="1"/>
  <c r="AD38" i="1"/>
  <c r="X5" i="1"/>
  <c r="AK5" i="1" s="1"/>
  <c r="Y5" i="1"/>
  <c r="Z5" i="1"/>
  <c r="AM5" i="1" s="1"/>
  <c r="AA5" i="1"/>
  <c r="AB5" i="1"/>
  <c r="X6" i="1"/>
  <c r="AK6" i="1" s="1"/>
  <c r="Y6" i="1"/>
  <c r="AL6" i="1" s="1"/>
  <c r="Z6" i="1"/>
  <c r="AA6" i="1"/>
  <c r="AB6" i="1"/>
  <c r="X7" i="1"/>
  <c r="Y7" i="1"/>
  <c r="Z7" i="1"/>
  <c r="AA7" i="1"/>
  <c r="AB7" i="1"/>
  <c r="X8" i="1"/>
  <c r="Y8" i="1"/>
  <c r="AL8" i="1" s="1"/>
  <c r="Z8" i="1"/>
  <c r="AM8" i="1" s="1"/>
  <c r="AA8" i="1"/>
  <c r="AN8" i="1" s="1"/>
  <c r="AB8" i="1"/>
  <c r="AO8" i="1" s="1"/>
  <c r="X9" i="1"/>
  <c r="Y9" i="1"/>
  <c r="AL9" i="1" s="1"/>
  <c r="Z9" i="1"/>
  <c r="AA9" i="1"/>
  <c r="AB9" i="1"/>
  <c r="X10" i="1"/>
  <c r="Y10" i="1"/>
  <c r="Z10" i="1"/>
  <c r="AA10" i="1"/>
  <c r="AB10" i="1"/>
  <c r="AO10" i="1" s="1"/>
  <c r="X11" i="1"/>
  <c r="AK11" i="1" s="1"/>
  <c r="Y11" i="1"/>
  <c r="AL11" i="1" s="1"/>
  <c r="Z11" i="1"/>
  <c r="AA11" i="1"/>
  <c r="AB11" i="1"/>
  <c r="X12" i="1"/>
  <c r="Y12" i="1"/>
  <c r="AL12" i="1" s="1"/>
  <c r="Z12" i="1"/>
  <c r="AA12" i="1"/>
  <c r="AN12" i="1" s="1"/>
  <c r="AB12" i="1"/>
  <c r="X13" i="1"/>
  <c r="AK13" i="1" s="1"/>
  <c r="Y13" i="1"/>
  <c r="AL13" i="1" s="1"/>
  <c r="Z13" i="1"/>
  <c r="AM13" i="1" s="1"/>
  <c r="AA13" i="1"/>
  <c r="AB13" i="1"/>
  <c r="AO13" i="1" s="1"/>
  <c r="X14" i="1"/>
  <c r="AK14" i="1" s="1"/>
  <c r="Y14" i="1"/>
  <c r="Z14" i="1"/>
  <c r="AA14" i="1"/>
  <c r="AB14" i="1"/>
  <c r="X15" i="1"/>
  <c r="Y15" i="1"/>
  <c r="Z15" i="1"/>
  <c r="AA15" i="1"/>
  <c r="AN15" i="1" s="1"/>
  <c r="AB15" i="1"/>
  <c r="X16" i="1"/>
  <c r="Y16" i="1"/>
  <c r="AL16" i="1" s="1"/>
  <c r="Z16" i="1"/>
  <c r="AA16" i="1"/>
  <c r="AB16" i="1"/>
  <c r="X17" i="1"/>
  <c r="AK17" i="1" s="1"/>
  <c r="Y17" i="1"/>
  <c r="Z17" i="1"/>
  <c r="AM17" i="1" s="1"/>
  <c r="AA17" i="1"/>
  <c r="AB17" i="1"/>
  <c r="AO17" i="1" s="1"/>
  <c r="X18" i="1"/>
  <c r="AK18" i="1" s="1"/>
  <c r="Y18" i="1"/>
  <c r="AL18" i="1" s="1"/>
  <c r="Z18" i="1"/>
  <c r="AA18" i="1"/>
  <c r="AB18" i="1"/>
  <c r="AO18" i="1" s="1"/>
  <c r="X19" i="1"/>
  <c r="Y19" i="1"/>
  <c r="Z19" i="1"/>
  <c r="AM19" i="1" s="1"/>
  <c r="AA19" i="1"/>
  <c r="AB19" i="1"/>
  <c r="AO19" i="1" s="1"/>
  <c r="X20" i="1"/>
  <c r="Y20" i="1"/>
  <c r="Z20" i="1"/>
  <c r="AA20" i="1"/>
  <c r="AB20" i="1"/>
  <c r="AO20" i="1" s="1"/>
  <c r="X21" i="1"/>
  <c r="Y21" i="1"/>
  <c r="Z21" i="1"/>
  <c r="AA21" i="1"/>
  <c r="AN21" i="1" s="1"/>
  <c r="AB21" i="1"/>
  <c r="X22" i="1"/>
  <c r="Y22" i="1"/>
  <c r="AL22" i="1" s="1"/>
  <c r="Z22" i="1"/>
  <c r="AA22" i="1"/>
  <c r="AN22" i="1" s="1"/>
  <c r="AB22" i="1"/>
  <c r="AO22" i="1" s="1"/>
  <c r="X23" i="1"/>
  <c r="Y23" i="1"/>
  <c r="AL23" i="1" s="1"/>
  <c r="Z23" i="1"/>
  <c r="AM23" i="1" s="1"/>
  <c r="AA23" i="1"/>
  <c r="AB23" i="1"/>
  <c r="X24" i="1"/>
  <c r="Y24" i="1"/>
  <c r="Z24" i="1"/>
  <c r="AA24" i="1"/>
  <c r="AB24" i="1"/>
  <c r="X25" i="1"/>
  <c r="AK25" i="1" s="1"/>
  <c r="Y25" i="1"/>
  <c r="AL25" i="1" s="1"/>
  <c r="Z25" i="1"/>
  <c r="AM25" i="1" s="1"/>
  <c r="AA25" i="1"/>
  <c r="AB25" i="1"/>
  <c r="X26" i="1"/>
  <c r="Y26" i="1"/>
  <c r="Z26" i="1"/>
  <c r="AA26" i="1"/>
  <c r="AN26" i="1" s="1"/>
  <c r="AB26" i="1"/>
  <c r="X27" i="1"/>
  <c r="AK27" i="1" s="1"/>
  <c r="Y27" i="1"/>
  <c r="Z27" i="1"/>
  <c r="AM27" i="1" s="1"/>
  <c r="AA27" i="1"/>
  <c r="AN27" i="1" s="1"/>
  <c r="AB27" i="1"/>
  <c r="AO27" i="1" s="1"/>
  <c r="X28" i="1"/>
  <c r="Y28" i="1"/>
  <c r="Z28" i="1"/>
  <c r="AA28" i="1"/>
  <c r="AB28" i="1"/>
  <c r="X29" i="1"/>
  <c r="Y29" i="1"/>
  <c r="Z29" i="1"/>
  <c r="AA29" i="1"/>
  <c r="AB29" i="1"/>
  <c r="X30" i="1"/>
  <c r="AK30" i="1" s="1"/>
  <c r="Y30" i="1"/>
  <c r="AL30" i="1" s="1"/>
  <c r="Z30" i="1"/>
  <c r="AM30" i="1" s="1"/>
  <c r="AA30" i="1"/>
  <c r="AB30" i="1"/>
  <c r="X31" i="1"/>
  <c r="AK31" i="1" s="1"/>
  <c r="Y31" i="1"/>
  <c r="Z31" i="1"/>
  <c r="AA31" i="1"/>
  <c r="AB31" i="1"/>
  <c r="AO31" i="1" s="1"/>
  <c r="X32" i="1"/>
  <c r="Y32" i="1"/>
  <c r="Z32" i="1"/>
  <c r="AM32" i="1" s="1"/>
  <c r="AA32" i="1"/>
  <c r="AN32" i="1" s="1"/>
  <c r="AB32" i="1"/>
  <c r="AO32" i="1" s="1"/>
  <c r="X33" i="1"/>
  <c r="AK33" i="1" s="1"/>
  <c r="Y33" i="1"/>
  <c r="AL33" i="1" s="1"/>
  <c r="Z33" i="1"/>
  <c r="AM33" i="1" s="1"/>
  <c r="AA33" i="1"/>
  <c r="AN33" i="1" s="1"/>
  <c r="AB33" i="1"/>
  <c r="AO33" i="1" s="1"/>
  <c r="X34" i="1"/>
  <c r="Y34" i="1"/>
  <c r="Z34" i="1"/>
  <c r="AA34" i="1"/>
  <c r="AB34" i="1"/>
  <c r="AO34" i="1" s="1"/>
  <c r="X35" i="1"/>
  <c r="AK35" i="1" s="1"/>
  <c r="Y35" i="1"/>
  <c r="Z35" i="1"/>
  <c r="AA35" i="1"/>
  <c r="AB35" i="1"/>
  <c r="X36" i="1"/>
  <c r="Y36" i="1"/>
  <c r="Z36" i="1"/>
  <c r="AA36" i="1"/>
  <c r="AB36" i="1"/>
  <c r="X37" i="1"/>
  <c r="AK37" i="1" s="1"/>
  <c r="Y37" i="1"/>
  <c r="AL37" i="1" s="1"/>
  <c r="Z37" i="1"/>
  <c r="AM37" i="1" s="1"/>
  <c r="AA37" i="1"/>
  <c r="AB37" i="1"/>
  <c r="X38" i="1"/>
  <c r="Y38" i="1"/>
  <c r="Z38" i="1"/>
  <c r="AA38" i="1"/>
  <c r="AB38" i="1"/>
  <c r="X39" i="1"/>
  <c r="AK39" i="1" s="1"/>
  <c r="Y39" i="1"/>
  <c r="Z39" i="1"/>
  <c r="AM39" i="1" s="1"/>
  <c r="AA39" i="1"/>
  <c r="AN39" i="1" s="1"/>
  <c r="AB39" i="1"/>
  <c r="AO39" i="1" s="1"/>
  <c r="Y4" i="1"/>
  <c r="Z4" i="1"/>
  <c r="AM36" i="1" s="1"/>
  <c r="AA4" i="1"/>
  <c r="AB4" i="1"/>
  <c r="S33" i="1"/>
  <c r="T33" i="1"/>
  <c r="U33" i="1"/>
  <c r="V33" i="1"/>
  <c r="W33" i="1"/>
  <c r="S34" i="1"/>
  <c r="AF34" i="1" s="1"/>
  <c r="T34" i="1"/>
  <c r="AG34" i="1" s="1"/>
  <c r="U34" i="1"/>
  <c r="AH34" i="1" s="1"/>
  <c r="V34" i="1"/>
  <c r="W34" i="1"/>
  <c r="S35" i="1"/>
  <c r="T35" i="1"/>
  <c r="U35" i="1"/>
  <c r="V35" i="1"/>
  <c r="W35" i="1"/>
  <c r="S36" i="1"/>
  <c r="AF36" i="1" s="1"/>
  <c r="T36" i="1"/>
  <c r="U36" i="1"/>
  <c r="AH36" i="1" s="1"/>
  <c r="V36" i="1"/>
  <c r="AI36" i="1" s="1"/>
  <c r="W36" i="1"/>
  <c r="AJ36" i="1" s="1"/>
  <c r="S37" i="1"/>
  <c r="T37" i="1"/>
  <c r="U37" i="1"/>
  <c r="V37" i="1"/>
  <c r="W37" i="1"/>
  <c r="S38" i="1"/>
  <c r="T38" i="1"/>
  <c r="U38" i="1"/>
  <c r="AH38" i="1" s="1"/>
  <c r="V38" i="1"/>
  <c r="W38" i="1"/>
  <c r="AJ38" i="1" s="1"/>
  <c r="S39" i="1"/>
  <c r="T39" i="1"/>
  <c r="U39" i="1"/>
  <c r="V39" i="1"/>
  <c r="W39" i="1"/>
  <c r="S20" i="1"/>
  <c r="T20" i="1"/>
  <c r="AG20" i="1" s="1"/>
  <c r="U20" i="1"/>
  <c r="AH20" i="1" s="1"/>
  <c r="V20" i="1"/>
  <c r="AI20" i="1" s="1"/>
  <c r="W20" i="1"/>
  <c r="AJ20" i="1" s="1"/>
  <c r="S21" i="1"/>
  <c r="AF21" i="1" s="1"/>
  <c r="T21" i="1"/>
  <c r="AG21" i="1" s="1"/>
  <c r="U21" i="1"/>
  <c r="AH21" i="1" s="1"/>
  <c r="V21" i="1"/>
  <c r="AI21" i="1" s="1"/>
  <c r="W21" i="1"/>
  <c r="AJ21" i="1" s="1"/>
  <c r="S22" i="1"/>
  <c r="T22" i="1"/>
  <c r="U22" i="1"/>
  <c r="V22" i="1"/>
  <c r="W22" i="1"/>
  <c r="S23" i="1"/>
  <c r="AF23" i="1" s="1"/>
  <c r="T23" i="1"/>
  <c r="AG23" i="1" s="1"/>
  <c r="U23" i="1"/>
  <c r="AH23" i="1" s="1"/>
  <c r="V23" i="1"/>
  <c r="AI23" i="1" s="1"/>
  <c r="W23" i="1"/>
  <c r="AJ23" i="1" s="1"/>
  <c r="S24" i="1"/>
  <c r="AF24" i="1" s="1"/>
  <c r="T24" i="1"/>
  <c r="U24" i="1"/>
  <c r="V24" i="1"/>
  <c r="AI24" i="1" s="1"/>
  <c r="W24" i="1"/>
  <c r="S25" i="1"/>
  <c r="T25" i="1"/>
  <c r="U25" i="1"/>
  <c r="AH25" i="1" s="1"/>
  <c r="V25" i="1"/>
  <c r="W25" i="1"/>
  <c r="AJ25" i="1" s="1"/>
  <c r="S26" i="1"/>
  <c r="T26" i="1"/>
  <c r="U26" i="1"/>
  <c r="V26" i="1"/>
  <c r="AI26" i="1" s="1"/>
  <c r="W26" i="1"/>
  <c r="S27" i="1"/>
  <c r="T27" i="1"/>
  <c r="U27" i="1"/>
  <c r="AH27" i="1" s="1"/>
  <c r="V27" i="1"/>
  <c r="W27" i="1"/>
  <c r="AJ27" i="1" s="1"/>
  <c r="S28" i="1"/>
  <c r="T28" i="1"/>
  <c r="AG28" i="1" s="1"/>
  <c r="U28" i="1"/>
  <c r="V28" i="1"/>
  <c r="AI28" i="1" s="1"/>
  <c r="W28" i="1"/>
  <c r="AJ28" i="1" s="1"/>
  <c r="S29" i="1"/>
  <c r="AF29" i="1" s="1"/>
  <c r="T29" i="1"/>
  <c r="AG29" i="1" s="1"/>
  <c r="U29" i="1"/>
  <c r="AH29" i="1" s="1"/>
  <c r="V29" i="1"/>
  <c r="AI29" i="1" s="1"/>
  <c r="W29" i="1"/>
  <c r="AJ29" i="1" s="1"/>
  <c r="S30" i="1"/>
  <c r="T30" i="1"/>
  <c r="U30" i="1"/>
  <c r="V30" i="1"/>
  <c r="W30" i="1"/>
  <c r="S31" i="1"/>
  <c r="T31" i="1"/>
  <c r="AG31" i="1" s="1"/>
  <c r="U31" i="1"/>
  <c r="V31" i="1"/>
  <c r="W31" i="1"/>
  <c r="S32" i="1"/>
  <c r="T32" i="1"/>
  <c r="AG32" i="1" s="1"/>
  <c r="U32" i="1"/>
  <c r="AH32" i="1" s="1"/>
  <c r="V32" i="1"/>
  <c r="AI32" i="1" s="1"/>
  <c r="W32" i="1"/>
  <c r="AJ32" i="1" s="1"/>
  <c r="S9" i="1"/>
  <c r="T9" i="1"/>
  <c r="U9" i="1"/>
  <c r="V9" i="1"/>
  <c r="W9" i="1"/>
  <c r="S10" i="1"/>
  <c r="T10" i="1"/>
  <c r="AG10" i="1" s="1"/>
  <c r="U10" i="1"/>
  <c r="V10" i="1"/>
  <c r="AI10" i="1" s="1"/>
  <c r="W10" i="1"/>
  <c r="AJ10" i="1" s="1"/>
  <c r="S11" i="1"/>
  <c r="AF11" i="1" s="1"/>
  <c r="T11" i="1"/>
  <c r="AG11" i="1" s="1"/>
  <c r="U11" i="1"/>
  <c r="AH11" i="1" s="1"/>
  <c r="V11" i="1"/>
  <c r="AI11" i="1" s="1"/>
  <c r="W11" i="1"/>
  <c r="AJ11" i="1" s="1"/>
  <c r="S12" i="1"/>
  <c r="AF6" i="1" s="1"/>
  <c r="T12" i="1"/>
  <c r="U12" i="1"/>
  <c r="V12" i="1"/>
  <c r="W12" i="1"/>
  <c r="S13" i="1"/>
  <c r="AF13" i="1" s="1"/>
  <c r="T13" i="1"/>
  <c r="AG13" i="1" s="1"/>
  <c r="U13" i="1"/>
  <c r="AH13" i="1" s="1"/>
  <c r="V13" i="1"/>
  <c r="AI13" i="1" s="1"/>
  <c r="W13" i="1"/>
  <c r="AJ13" i="1" s="1"/>
  <c r="S14" i="1"/>
  <c r="AF14" i="1" s="1"/>
  <c r="T14" i="1"/>
  <c r="AG14" i="1" s="1"/>
  <c r="U14" i="1"/>
  <c r="AH14" i="1" s="1"/>
  <c r="V14" i="1"/>
  <c r="W14" i="1"/>
  <c r="S15" i="1"/>
  <c r="T15" i="1"/>
  <c r="U15" i="1"/>
  <c r="V15" i="1"/>
  <c r="W15" i="1"/>
  <c r="AJ15" i="1" s="1"/>
  <c r="S16" i="1"/>
  <c r="AF16" i="1" s="1"/>
  <c r="T16" i="1"/>
  <c r="AG16" i="1" s="1"/>
  <c r="U16" i="1"/>
  <c r="AH16" i="1" s="1"/>
  <c r="V16" i="1"/>
  <c r="AI16" i="1" s="1"/>
  <c r="W16" i="1"/>
  <c r="AJ16" i="1" s="1"/>
  <c r="S17" i="1"/>
  <c r="AF17" i="1" s="1"/>
  <c r="T17" i="1"/>
  <c r="AG17" i="1" s="1"/>
  <c r="U17" i="1"/>
  <c r="AH17" i="1" s="1"/>
  <c r="V17" i="1"/>
  <c r="W17" i="1"/>
  <c r="S18" i="1"/>
  <c r="T18" i="1"/>
  <c r="U18" i="1"/>
  <c r="V18" i="1"/>
  <c r="W18" i="1"/>
  <c r="AJ18" i="1" s="1"/>
  <c r="S19" i="1"/>
  <c r="T19" i="1"/>
  <c r="AG19" i="1" s="1"/>
  <c r="U19" i="1"/>
  <c r="V19" i="1"/>
  <c r="W19" i="1"/>
  <c r="S5" i="1"/>
  <c r="T5" i="1"/>
  <c r="U5" i="1"/>
  <c r="V5" i="1"/>
  <c r="W5" i="1"/>
  <c r="S6" i="1"/>
  <c r="T6" i="1"/>
  <c r="AG6" i="1" s="1"/>
  <c r="U6" i="1"/>
  <c r="AH22" i="1" s="1"/>
  <c r="V6" i="1"/>
  <c r="AI31" i="1" s="1"/>
  <c r="W6" i="1"/>
  <c r="S7" i="1"/>
  <c r="T7" i="1"/>
  <c r="AG7" i="1" s="1"/>
  <c r="U7" i="1"/>
  <c r="AH7" i="1" s="1"/>
  <c r="V7" i="1"/>
  <c r="AI7" i="1" s="1"/>
  <c r="W7" i="1"/>
  <c r="AJ7" i="1" s="1"/>
  <c r="S8" i="1"/>
  <c r="T8" i="1"/>
  <c r="AG8" i="1" s="1"/>
  <c r="U8" i="1"/>
  <c r="V8" i="1"/>
  <c r="AI8" i="1" s="1"/>
  <c r="W8" i="1"/>
  <c r="AJ8" i="1" s="1"/>
  <c r="T4" i="1"/>
  <c r="U4" i="1"/>
  <c r="V4" i="1"/>
  <c r="W4" i="1"/>
  <c r="S4" i="1"/>
  <c r="AF4" i="1" s="1"/>
  <c r="P38" i="1"/>
  <c r="Q38" i="1"/>
  <c r="R38" i="1"/>
  <c r="AE38" i="1" s="1"/>
  <c r="P80" i="1"/>
  <c r="AC80" i="1" s="1"/>
  <c r="Q80" i="1"/>
  <c r="R80" i="1"/>
  <c r="AE80" i="1" s="1"/>
  <c r="S80" i="1"/>
  <c r="AF80" i="1" s="1"/>
  <c r="T80" i="1"/>
  <c r="AG80" i="1" s="1"/>
  <c r="U80" i="1"/>
  <c r="AH80" i="1" s="1"/>
  <c r="V80" i="1"/>
  <c r="AI80" i="1" s="1"/>
  <c r="W80" i="1"/>
  <c r="AJ80" i="1" s="1"/>
  <c r="X80" i="1"/>
  <c r="AK80" i="1" s="1"/>
  <c r="Y80" i="1"/>
  <c r="AL80" i="1" s="1"/>
  <c r="Z80" i="1"/>
  <c r="AM80" i="1" s="1"/>
  <c r="AA80" i="1"/>
  <c r="AN80" i="1" s="1"/>
  <c r="AB80" i="1"/>
  <c r="AO80" i="1" s="1"/>
  <c r="P39" i="1"/>
  <c r="AC39" i="1" s="1"/>
  <c r="Q39" i="1"/>
  <c r="AD39" i="1" s="1"/>
  <c r="R39" i="1"/>
  <c r="AE39" i="1" s="1"/>
  <c r="P27" i="1"/>
  <c r="AC27" i="1" s="1"/>
  <c r="Q27" i="1"/>
  <c r="R27" i="1"/>
  <c r="AE27" i="1" s="1"/>
  <c r="P28" i="1"/>
  <c r="Q28" i="1"/>
  <c r="AD28" i="1" s="1"/>
  <c r="R28" i="1"/>
  <c r="AE28" i="1" s="1"/>
  <c r="P25" i="1"/>
  <c r="Q25" i="1"/>
  <c r="AD25" i="1" s="1"/>
  <c r="R25" i="1"/>
  <c r="P26" i="1"/>
  <c r="AC26" i="1" s="1"/>
  <c r="Q26" i="1"/>
  <c r="AD26" i="1" s="1"/>
  <c r="R26" i="1"/>
  <c r="AE26" i="1" s="1"/>
  <c r="P74" i="1"/>
  <c r="AC74" i="1" s="1"/>
  <c r="Q74" i="1"/>
  <c r="AD74" i="1" s="1"/>
  <c r="R74" i="1"/>
  <c r="AE74" i="1" s="1"/>
  <c r="S74" i="1"/>
  <c r="T74" i="1"/>
  <c r="U74" i="1"/>
  <c r="V74" i="1"/>
  <c r="W74" i="1"/>
  <c r="X74" i="1"/>
  <c r="AK74" i="1" s="1"/>
  <c r="Y74" i="1"/>
  <c r="AL74" i="1" s="1"/>
  <c r="Z74" i="1"/>
  <c r="AM74" i="1" s="1"/>
  <c r="AA74" i="1"/>
  <c r="AN74" i="1" s="1"/>
  <c r="AB74" i="1"/>
  <c r="AO74" i="1" s="1"/>
  <c r="P75" i="1"/>
  <c r="AC75" i="1" s="1"/>
  <c r="Q75" i="1"/>
  <c r="AD75" i="1" s="1"/>
  <c r="R75" i="1"/>
  <c r="AE75" i="1" s="1"/>
  <c r="S75" i="1"/>
  <c r="AF75" i="1" s="1"/>
  <c r="T75" i="1"/>
  <c r="AG75" i="1" s="1"/>
  <c r="U75" i="1"/>
  <c r="AH75" i="1" s="1"/>
  <c r="V75" i="1"/>
  <c r="AI75" i="1" s="1"/>
  <c r="W75" i="1"/>
  <c r="AJ75" i="1" s="1"/>
  <c r="X75" i="1"/>
  <c r="Y75" i="1"/>
  <c r="Z75" i="1"/>
  <c r="AA75" i="1"/>
  <c r="AB75" i="1"/>
  <c r="P22" i="1"/>
  <c r="Q22" i="1"/>
  <c r="AD22" i="1" s="1"/>
  <c r="R22" i="1"/>
  <c r="P23" i="1"/>
  <c r="AC23" i="1" s="1"/>
  <c r="Q23" i="1"/>
  <c r="R23" i="1"/>
  <c r="AE23" i="1" s="1"/>
  <c r="P85" i="1"/>
  <c r="AC85" i="1" s="1"/>
  <c r="Q85" i="1"/>
  <c r="AD85" i="1" s="1"/>
  <c r="R85" i="1"/>
  <c r="AE85" i="1" s="1"/>
  <c r="S85" i="1"/>
  <c r="T85" i="1"/>
  <c r="U85" i="1"/>
  <c r="V85" i="1"/>
  <c r="W85" i="1"/>
  <c r="X85" i="1"/>
  <c r="AK85" i="1" s="1"/>
  <c r="Y85" i="1"/>
  <c r="AL85" i="1" s="1"/>
  <c r="Z85" i="1"/>
  <c r="AM85" i="1" s="1"/>
  <c r="AA85" i="1"/>
  <c r="AN85" i="1" s="1"/>
  <c r="AB85" i="1"/>
  <c r="AO85" i="1" s="1"/>
  <c r="P86" i="1"/>
  <c r="AC86" i="1" s="1"/>
  <c r="Q86" i="1"/>
  <c r="AD86" i="1" s="1"/>
  <c r="R86" i="1"/>
  <c r="AE86" i="1" s="1"/>
  <c r="S86" i="1"/>
  <c r="AF86" i="1" s="1"/>
  <c r="T86" i="1"/>
  <c r="AG86" i="1" s="1"/>
  <c r="U86" i="1"/>
  <c r="AH86" i="1" s="1"/>
  <c r="V86" i="1"/>
  <c r="AI86" i="1" s="1"/>
  <c r="W86" i="1"/>
  <c r="AJ86" i="1" s="1"/>
  <c r="X86" i="1"/>
  <c r="Y86" i="1"/>
  <c r="AL86" i="1" s="1"/>
  <c r="Z86" i="1"/>
  <c r="AA86" i="1"/>
  <c r="AN86" i="1" s="1"/>
  <c r="AB86" i="1"/>
  <c r="P78" i="1"/>
  <c r="AC78" i="1" s="1"/>
  <c r="Q78" i="1"/>
  <c r="AD78" i="1" s="1"/>
  <c r="R78" i="1"/>
  <c r="AE78" i="1" s="1"/>
  <c r="S78" i="1"/>
  <c r="AF78" i="1" s="1"/>
  <c r="T78" i="1"/>
  <c r="AG78" i="1" s="1"/>
  <c r="U78" i="1"/>
  <c r="AH78" i="1" s="1"/>
  <c r="V78" i="1"/>
  <c r="AI78" i="1" s="1"/>
  <c r="W78" i="1"/>
  <c r="AJ78" i="1" s="1"/>
  <c r="X78" i="1"/>
  <c r="AK78" i="1" s="1"/>
  <c r="Y78" i="1"/>
  <c r="AL78" i="1" s="1"/>
  <c r="Z78" i="1"/>
  <c r="AM78" i="1" s="1"/>
  <c r="AA78" i="1"/>
  <c r="AN78" i="1" s="1"/>
  <c r="AB78" i="1"/>
  <c r="AO78" i="1" s="1"/>
  <c r="P15" i="1"/>
  <c r="AC15" i="1" s="1"/>
  <c r="Q15" i="1"/>
  <c r="R15" i="1"/>
  <c r="P67" i="1"/>
  <c r="AC67" i="1" s="1"/>
  <c r="Q67" i="1"/>
  <c r="AD67" i="1" s="1"/>
  <c r="R67" i="1"/>
  <c r="AE67" i="1" s="1"/>
  <c r="S67" i="1"/>
  <c r="AF67" i="1" s="1"/>
  <c r="T67" i="1"/>
  <c r="AG67" i="1" s="1"/>
  <c r="U67" i="1"/>
  <c r="AH67" i="1" s="1"/>
  <c r="V67" i="1"/>
  <c r="AI67" i="1" s="1"/>
  <c r="W67" i="1"/>
  <c r="AJ67" i="1" s="1"/>
  <c r="X67" i="1"/>
  <c r="Y67" i="1"/>
  <c r="Z67" i="1"/>
  <c r="AA67" i="1"/>
  <c r="AB67" i="1"/>
  <c r="M83" i="10"/>
  <c r="M56" i="10"/>
  <c r="P32" i="10"/>
  <c r="M29" i="10"/>
  <c r="M2" i="10"/>
  <c r="P32" i="1"/>
  <c r="Q32" i="1"/>
  <c r="AD32" i="1" s="1"/>
  <c r="R32" i="1"/>
  <c r="AG35" i="1" l="1"/>
  <c r="AG4" i="1"/>
  <c r="AG5" i="1"/>
  <c r="AH26" i="1"/>
  <c r="AG39" i="1"/>
  <c r="AG9" i="1"/>
  <c r="AF31" i="1"/>
  <c r="AF39" i="1"/>
  <c r="AM20" i="1"/>
  <c r="AF26" i="1"/>
  <c r="AN34" i="1"/>
  <c r="AL32" i="1"/>
  <c r="AO29" i="1"/>
  <c r="AL20" i="1"/>
  <c r="AM15" i="1"/>
  <c r="AN10" i="1"/>
  <c r="AO5" i="1"/>
  <c r="AO38" i="1"/>
  <c r="AO24" i="1"/>
  <c r="AH19" i="1"/>
  <c r="AN7" i="1"/>
  <c r="I6" i="5"/>
  <c r="J6" i="5" s="1"/>
  <c r="AJ33" i="1"/>
  <c r="AI33" i="1"/>
  <c r="AJ31" i="1"/>
  <c r="AM7" i="1"/>
  <c r="AH18" i="1"/>
  <c r="AH6" i="1"/>
  <c r="AH39" i="1"/>
  <c r="AF30" i="1"/>
  <c r="AJ22" i="1"/>
  <c r="AI35" i="1"/>
  <c r="AG33" i="1"/>
  <c r="AL36" i="1"/>
  <c r="AL24" i="1"/>
  <c r="AH31" i="1"/>
  <c r="AO15" i="1"/>
  <c r="AF19" i="1"/>
  <c r="AI6" i="1"/>
  <c r="AI19" i="1"/>
  <c r="AI22" i="1"/>
  <c r="AI39" i="1"/>
  <c r="AI5" i="1"/>
  <c r="AJ30" i="1"/>
  <c r="AF12" i="1"/>
  <c r="I11" i="5" s="1"/>
  <c r="J11" i="5" s="1"/>
  <c r="AF18" i="1"/>
  <c r="AN20" i="1"/>
  <c r="AM38" i="1"/>
  <c r="AG26" i="1"/>
  <c r="AI37" i="1"/>
  <c r="I5" i="5"/>
  <c r="H6" i="5"/>
  <c r="K6" i="5" s="1"/>
  <c r="I13" i="5"/>
  <c r="J13" i="5" s="1"/>
  <c r="H13" i="5"/>
  <c r="K13" i="5" s="1"/>
  <c r="AO23" i="1"/>
  <c r="AG37" i="1"/>
  <c r="AL29" i="1"/>
  <c r="AJ35" i="1"/>
  <c r="AJ19" i="1"/>
  <c r="AN29" i="1"/>
  <c r="AN23" i="1"/>
  <c r="AM16" i="1"/>
  <c r="AF37" i="1"/>
  <c r="AJ9" i="1"/>
  <c r="AL15" i="1"/>
  <c r="AN36" i="1"/>
  <c r="AN24" i="1"/>
  <c r="AO7" i="1"/>
  <c r="AM28" i="1"/>
  <c r="AM10" i="1"/>
  <c r="AG18" i="1"/>
  <c r="AG30" i="1"/>
  <c r="AJ37" i="1"/>
  <c r="AH35" i="1"/>
  <c r="AF33" i="1"/>
  <c r="AO16" i="1"/>
  <c r="AL7" i="1"/>
  <c r="AJ26" i="1"/>
  <c r="AO36" i="1"/>
  <c r="AN16" i="1"/>
  <c r="AL34" i="1"/>
  <c r="AH37" i="1"/>
  <c r="AM29" i="1"/>
  <c r="AJ39" i="1"/>
  <c r="AF35" i="1"/>
  <c r="AM24" i="1"/>
  <c r="AL28" i="1"/>
  <c r="AH30" i="1"/>
  <c r="AL10" i="1"/>
  <c r="AH33" i="1"/>
  <c r="AI18" i="1"/>
  <c r="AF9" i="1"/>
  <c r="H15" i="5" s="1"/>
  <c r="K15" i="5" s="1"/>
  <c r="AI30" i="1"/>
  <c r="AJ4" i="1"/>
  <c r="AI4" i="1"/>
  <c r="AH4" i="1"/>
  <c r="P20" i="1"/>
  <c r="AC20" i="1" s="1"/>
  <c r="Q20" i="1"/>
  <c r="AD20" i="1" s="1"/>
  <c r="R20" i="1"/>
  <c r="AE20" i="1" s="1"/>
  <c r="N48" i="5" l="1"/>
  <c r="Q48" i="5" s="1"/>
  <c r="N42" i="5"/>
  <c r="Q42" i="5" s="1"/>
  <c r="O47" i="5"/>
  <c r="P47" i="5" s="1"/>
  <c r="O41" i="5"/>
  <c r="P41" i="5" s="1"/>
  <c r="N47" i="5"/>
  <c r="Q47" i="5" s="1"/>
  <c r="N41" i="5"/>
  <c r="Q41" i="5" s="1"/>
  <c r="O46" i="5"/>
  <c r="P46" i="5" s="1"/>
  <c r="O40" i="5"/>
  <c r="P40" i="5" s="1"/>
  <c r="N46" i="5"/>
  <c r="Q46" i="5" s="1"/>
  <c r="O45" i="5"/>
  <c r="P45" i="5" s="1"/>
  <c r="O44" i="5"/>
  <c r="P44" i="5" s="1"/>
  <c r="N44" i="5"/>
  <c r="Q44" i="5" s="1"/>
  <c r="O51" i="5"/>
  <c r="P51" i="5" s="1"/>
  <c r="O48" i="5"/>
  <c r="P48" i="5" s="1"/>
  <c r="N45" i="5"/>
  <c r="Q45" i="5" s="1"/>
  <c r="O43" i="5"/>
  <c r="P43" i="5" s="1"/>
  <c r="N51" i="5"/>
  <c r="Q51" i="5" s="1"/>
  <c r="O39" i="5"/>
  <c r="O50" i="5"/>
  <c r="P50" i="5" s="1"/>
  <c r="N39" i="5"/>
  <c r="Q39" i="5" s="1"/>
  <c r="N50" i="5"/>
  <c r="Q50" i="5" s="1"/>
  <c r="O49" i="5"/>
  <c r="P49" i="5" s="1"/>
  <c r="N49" i="5"/>
  <c r="Q49" i="5" s="1"/>
  <c r="N40" i="5"/>
  <c r="Q40" i="5" s="1"/>
  <c r="N43" i="5"/>
  <c r="Q43" i="5" s="1"/>
  <c r="O42" i="5"/>
  <c r="P42" i="5" s="1"/>
  <c r="I10" i="5"/>
  <c r="J10" i="5" s="1"/>
  <c r="H14" i="5"/>
  <c r="K14" i="5" s="1"/>
  <c r="I16" i="5"/>
  <c r="J16" i="5" s="1"/>
  <c r="H11" i="5"/>
  <c r="K11" i="5" s="1"/>
  <c r="I15" i="5"/>
  <c r="J15" i="5" s="1"/>
  <c r="I14" i="5"/>
  <c r="J14" i="5" s="1"/>
  <c r="H17" i="5"/>
  <c r="K17" i="5" s="1"/>
  <c r="I8" i="5"/>
  <c r="J8" i="5" s="1"/>
  <c r="I17" i="5"/>
  <c r="J17" i="5" s="1"/>
  <c r="H9" i="5"/>
  <c r="K9" i="5" s="1"/>
  <c r="H7" i="5"/>
  <c r="K7" i="5" s="1"/>
  <c r="H8" i="5"/>
  <c r="K8" i="5" s="1"/>
  <c r="H12" i="5"/>
  <c r="K12" i="5" s="1"/>
  <c r="O13" i="5"/>
  <c r="P13" i="5" s="1"/>
  <c r="O8" i="5"/>
  <c r="P8" i="5" s="1"/>
  <c r="N13" i="5"/>
  <c r="Q13" i="5" s="1"/>
  <c r="N8" i="5"/>
  <c r="Q8" i="5" s="1"/>
  <c r="O7" i="5"/>
  <c r="P7" i="5" s="1"/>
  <c r="N12" i="5"/>
  <c r="Q12" i="5" s="1"/>
  <c r="N17" i="5"/>
  <c r="Q17" i="5" s="1"/>
  <c r="O10" i="5"/>
  <c r="P10" i="5" s="1"/>
  <c r="O16" i="5"/>
  <c r="P16" i="5" s="1"/>
  <c r="N10" i="5"/>
  <c r="Q10" i="5" s="1"/>
  <c r="N11" i="5"/>
  <c r="Q11" i="5" s="1"/>
  <c r="O15" i="5"/>
  <c r="P15" i="5" s="1"/>
  <c r="N6" i="5"/>
  <c r="Q6" i="5" s="1"/>
  <c r="O6" i="5"/>
  <c r="P6" i="5" s="1"/>
  <c r="N15" i="5"/>
  <c r="Q15" i="5" s="1"/>
  <c r="O9" i="5"/>
  <c r="P9" i="5" s="1"/>
  <c r="O17" i="5"/>
  <c r="P17" i="5" s="1"/>
  <c r="N9" i="5"/>
  <c r="Q9" i="5" s="1"/>
  <c r="N16" i="5"/>
  <c r="Q16" i="5" s="1"/>
  <c r="N7" i="5"/>
  <c r="Q7" i="5" s="1"/>
  <c r="N5" i="5"/>
  <c r="Q5" i="5" s="1"/>
  <c r="N14" i="5"/>
  <c r="Q14" i="5" s="1"/>
  <c r="O12" i="5"/>
  <c r="P12" i="5" s="1"/>
  <c r="O14" i="5"/>
  <c r="P14" i="5" s="1"/>
  <c r="O11" i="5"/>
  <c r="P11" i="5" s="1"/>
  <c r="O5" i="5"/>
  <c r="P5" i="5" s="1"/>
  <c r="I9" i="5"/>
  <c r="J9" i="5" s="1"/>
  <c r="H5" i="5"/>
  <c r="K5" i="5" s="1"/>
  <c r="H10" i="5"/>
  <c r="K10" i="5" s="1"/>
  <c r="I7" i="5"/>
  <c r="J7" i="5" s="1"/>
  <c r="B48" i="5"/>
  <c r="E48" i="5" s="1"/>
  <c r="B43" i="5"/>
  <c r="E43" i="5" s="1"/>
  <c r="C47" i="5"/>
  <c r="D47" i="5" s="1"/>
  <c r="B47" i="5"/>
  <c r="E47" i="5" s="1"/>
  <c r="B51" i="5"/>
  <c r="E51" i="5" s="1"/>
  <c r="C49" i="5"/>
  <c r="D49" i="5" s="1"/>
  <c r="B44" i="5"/>
  <c r="E44" i="5" s="1"/>
  <c r="B49" i="5"/>
  <c r="E49" i="5" s="1"/>
  <c r="C43" i="5"/>
  <c r="D43" i="5" s="1"/>
  <c r="B42" i="5"/>
  <c r="E42" i="5" s="1"/>
  <c r="C51" i="5"/>
  <c r="D51" i="5" s="1"/>
  <c r="C48" i="5"/>
  <c r="D48" i="5" s="1"/>
  <c r="C41" i="5"/>
  <c r="D41" i="5" s="1"/>
  <c r="C46" i="5"/>
  <c r="D46" i="5" s="1"/>
  <c r="C39" i="5"/>
  <c r="D39" i="5" s="1"/>
  <c r="C44" i="5"/>
  <c r="D44" i="5" s="1"/>
  <c r="B41" i="5"/>
  <c r="E41" i="5" s="1"/>
  <c r="B46" i="5"/>
  <c r="E46" i="5" s="1"/>
  <c r="B39" i="5"/>
  <c r="C45" i="5"/>
  <c r="D45" i="5" s="1"/>
  <c r="B45" i="5"/>
  <c r="E45" i="5" s="1"/>
  <c r="C42" i="5"/>
  <c r="D42" i="5" s="1"/>
  <c r="E39" i="5"/>
  <c r="C50" i="5"/>
  <c r="D50" i="5" s="1"/>
  <c r="B50" i="5"/>
  <c r="E50" i="5" s="1"/>
  <c r="C40" i="5"/>
  <c r="D40" i="5" s="1"/>
  <c r="B40" i="5"/>
  <c r="E40" i="5" s="1"/>
  <c r="I45" i="5"/>
  <c r="J45" i="5" s="1"/>
  <c r="H45" i="5"/>
  <c r="K45" i="5" s="1"/>
  <c r="I49" i="5"/>
  <c r="J49" i="5" s="1"/>
  <c r="I44" i="5"/>
  <c r="J44" i="5" s="1"/>
  <c r="I40" i="5"/>
  <c r="J40" i="5" s="1"/>
  <c r="H49" i="5"/>
  <c r="K49" i="5" s="1"/>
  <c r="H44" i="5"/>
  <c r="K44" i="5" s="1"/>
  <c r="H40" i="5"/>
  <c r="K40" i="5" s="1"/>
  <c r="I51" i="5"/>
  <c r="J51" i="5" s="1"/>
  <c r="H51" i="5"/>
  <c r="K51" i="5" s="1"/>
  <c r="H50" i="5"/>
  <c r="K50" i="5" s="1"/>
  <c r="H43" i="5"/>
  <c r="K43" i="5" s="1"/>
  <c r="I48" i="5"/>
  <c r="J48" i="5" s="1"/>
  <c r="I42" i="5"/>
  <c r="J42" i="5" s="1"/>
  <c r="H42" i="5"/>
  <c r="K42" i="5" s="1"/>
  <c r="I41" i="5"/>
  <c r="J41" i="5" s="1"/>
  <c r="H41" i="5"/>
  <c r="K41" i="5" s="1"/>
  <c r="H47" i="5"/>
  <c r="K47" i="5" s="1"/>
  <c r="I50" i="5"/>
  <c r="J50" i="5" s="1"/>
  <c r="H48" i="5"/>
  <c r="K48" i="5" s="1"/>
  <c r="I39" i="5"/>
  <c r="I47" i="5"/>
  <c r="J47" i="5" s="1"/>
  <c r="H39" i="5"/>
  <c r="K39" i="5" s="1"/>
  <c r="I43" i="5"/>
  <c r="J43" i="5" s="1"/>
  <c r="I46" i="5"/>
  <c r="J46" i="5" s="1"/>
  <c r="H46" i="5"/>
  <c r="K46" i="5" s="1"/>
  <c r="I12" i="5"/>
  <c r="J12" i="5" s="1"/>
  <c r="H16" i="5"/>
  <c r="K16" i="5" s="1"/>
  <c r="P84" i="1"/>
  <c r="AC84" i="1" s="1"/>
  <c r="Q84" i="1"/>
  <c r="AD84" i="1" s="1"/>
  <c r="R84" i="1"/>
  <c r="AE84" i="1" s="1"/>
  <c r="S84" i="1"/>
  <c r="AF84" i="1" s="1"/>
  <c r="T84" i="1"/>
  <c r="AG84" i="1" s="1"/>
  <c r="U84" i="1"/>
  <c r="AH84" i="1" s="1"/>
  <c r="V84" i="1"/>
  <c r="AI84" i="1" s="1"/>
  <c r="W84" i="1"/>
  <c r="AJ84" i="1" s="1"/>
  <c r="X84" i="1"/>
  <c r="Y84" i="1"/>
  <c r="Z84" i="1"/>
  <c r="AA84" i="1"/>
  <c r="AB84" i="1"/>
  <c r="P19" i="1" l="1"/>
  <c r="AC19" i="1" s="1"/>
  <c r="Q19" i="1"/>
  <c r="AD19" i="1" s="1"/>
  <c r="R19" i="1"/>
  <c r="AE19" i="1" s="1"/>
  <c r="P54" i="1"/>
  <c r="Q54" i="1"/>
  <c r="AD54" i="1" s="1"/>
  <c r="R54" i="1"/>
  <c r="AE54" i="1" s="1"/>
  <c r="S54" i="1"/>
  <c r="AF54" i="1" s="1"/>
  <c r="T54" i="1"/>
  <c r="AG54" i="1" s="1"/>
  <c r="U54" i="1"/>
  <c r="AH54" i="1" s="1"/>
  <c r="V54" i="1"/>
  <c r="AI54" i="1" s="1"/>
  <c r="W54" i="1"/>
  <c r="AJ54" i="1" s="1"/>
  <c r="X54" i="1"/>
  <c r="AK54" i="1" s="1"/>
  <c r="Y54" i="1"/>
  <c r="AL54" i="1" s="1"/>
  <c r="Z54" i="1"/>
  <c r="AM54" i="1" s="1"/>
  <c r="AA54" i="1"/>
  <c r="AN54" i="1" s="1"/>
  <c r="AB54" i="1"/>
  <c r="AO54" i="1" s="1"/>
  <c r="P55" i="1"/>
  <c r="Q55" i="1"/>
  <c r="AD55" i="1" s="1"/>
  <c r="R55" i="1"/>
  <c r="AE55" i="1" s="1"/>
  <c r="S55" i="1"/>
  <c r="AF55" i="1" s="1"/>
  <c r="T55" i="1"/>
  <c r="AG55" i="1" s="1"/>
  <c r="U55" i="1"/>
  <c r="AH55" i="1" s="1"/>
  <c r="V55" i="1"/>
  <c r="AI55" i="1" s="1"/>
  <c r="W55" i="1"/>
  <c r="AJ55" i="1" s="1"/>
  <c r="X55" i="1"/>
  <c r="AK55" i="1" s="1"/>
  <c r="Y55" i="1"/>
  <c r="AL55" i="1" s="1"/>
  <c r="Z55" i="1"/>
  <c r="AM55" i="1" s="1"/>
  <c r="AA55" i="1"/>
  <c r="AN55" i="1" s="1"/>
  <c r="AB55" i="1"/>
  <c r="AO55" i="1" s="1"/>
  <c r="P45" i="1" l="1"/>
  <c r="AC45" i="1" s="1"/>
  <c r="Q45" i="1"/>
  <c r="AD45" i="1" s="1"/>
  <c r="R45" i="1"/>
  <c r="AE45" i="1" s="1"/>
  <c r="S45" i="1"/>
  <c r="AF45" i="1" s="1"/>
  <c r="T45" i="1"/>
  <c r="AG45" i="1" s="1"/>
  <c r="U45" i="1"/>
  <c r="AH45" i="1" s="1"/>
  <c r="V45" i="1"/>
  <c r="AI45" i="1" s="1"/>
  <c r="W45" i="1"/>
  <c r="AJ45" i="1" s="1"/>
  <c r="X45" i="1"/>
  <c r="Y45" i="1"/>
  <c r="Z45" i="1"/>
  <c r="AA45" i="1"/>
  <c r="AB45" i="1"/>
  <c r="P60" i="1"/>
  <c r="AC60" i="1" s="1"/>
  <c r="Q60" i="1"/>
  <c r="AD60" i="1" s="1"/>
  <c r="R60" i="1"/>
  <c r="AE60" i="1" s="1"/>
  <c r="S60" i="1"/>
  <c r="AF60" i="1" s="1"/>
  <c r="T60" i="1"/>
  <c r="AG60" i="1" s="1"/>
  <c r="U60" i="1"/>
  <c r="AH60" i="1" s="1"/>
  <c r="V60" i="1"/>
  <c r="AI60" i="1" s="1"/>
  <c r="W60" i="1"/>
  <c r="AJ60" i="1" s="1"/>
  <c r="X60" i="1"/>
  <c r="AK60" i="1" s="1"/>
  <c r="Y60" i="1"/>
  <c r="AL60" i="1" s="1"/>
  <c r="Z60" i="1"/>
  <c r="AM60" i="1" s="1"/>
  <c r="AA60" i="1"/>
  <c r="AN60" i="1" s="1"/>
  <c r="AB60" i="1"/>
  <c r="AO60" i="1" s="1"/>
  <c r="P63" i="1"/>
  <c r="AC63" i="1" s="1"/>
  <c r="Q63" i="1"/>
  <c r="AD63" i="1" s="1"/>
  <c r="R63" i="1"/>
  <c r="AE63" i="1" s="1"/>
  <c r="S63" i="1"/>
  <c r="AF63" i="1" s="1"/>
  <c r="T63" i="1"/>
  <c r="AG63" i="1" s="1"/>
  <c r="U63" i="1"/>
  <c r="AH63" i="1" s="1"/>
  <c r="V63" i="1"/>
  <c r="AI63" i="1" s="1"/>
  <c r="W63" i="1"/>
  <c r="AJ63" i="1" s="1"/>
  <c r="X63" i="1"/>
  <c r="Y63" i="1"/>
  <c r="Z63" i="1"/>
  <c r="AA63" i="1"/>
  <c r="AB63" i="1"/>
  <c r="AB81" i="1"/>
  <c r="AO81" i="1" s="1"/>
  <c r="AA81" i="1"/>
  <c r="AN81" i="1" s="1"/>
  <c r="Z81" i="1"/>
  <c r="AM81" i="1" s="1"/>
  <c r="Y81" i="1"/>
  <c r="AL81" i="1" s="1"/>
  <c r="X81" i="1"/>
  <c r="AK81" i="1" s="1"/>
  <c r="W81" i="1"/>
  <c r="V81" i="1"/>
  <c r="U81" i="1"/>
  <c r="T81" i="1"/>
  <c r="S81" i="1"/>
  <c r="R81" i="1"/>
  <c r="AE81" i="1" s="1"/>
  <c r="Q81" i="1"/>
  <c r="AD81" i="1" s="1"/>
  <c r="P81" i="1"/>
  <c r="AC81" i="1" s="1"/>
  <c r="P36" i="1"/>
  <c r="AC36" i="1" s="1"/>
  <c r="Q36" i="1"/>
  <c r="AD36" i="1" s="1"/>
  <c r="R36" i="1"/>
  <c r="AE36" i="1" s="1"/>
  <c r="P82" i="1"/>
  <c r="AC82" i="1" s="1"/>
  <c r="Q82" i="1"/>
  <c r="AD82" i="1" s="1"/>
  <c r="R82" i="1"/>
  <c r="AE82" i="1" s="1"/>
  <c r="S82" i="1"/>
  <c r="AF82" i="1" s="1"/>
  <c r="T82" i="1"/>
  <c r="AG82" i="1" s="1"/>
  <c r="U82" i="1"/>
  <c r="AH82" i="1" s="1"/>
  <c r="V82" i="1"/>
  <c r="AI82" i="1" s="1"/>
  <c r="W82" i="1"/>
  <c r="AJ82" i="1" s="1"/>
  <c r="X82" i="1"/>
  <c r="Y82" i="1"/>
  <c r="Z82" i="1"/>
  <c r="AA82" i="1"/>
  <c r="AB82" i="1"/>
  <c r="AB77" i="1"/>
  <c r="AA77" i="1"/>
  <c r="Z77" i="1"/>
  <c r="AM77" i="1" s="1"/>
  <c r="Y77" i="1"/>
  <c r="X77" i="1"/>
  <c r="AK77" i="1" s="1"/>
  <c r="W77" i="1"/>
  <c r="V77" i="1"/>
  <c r="U77" i="1"/>
  <c r="T77" i="1"/>
  <c r="AG77" i="1" s="1"/>
  <c r="S77" i="1"/>
  <c r="R77" i="1"/>
  <c r="AE77" i="1" s="1"/>
  <c r="Q77" i="1"/>
  <c r="AD77" i="1" s="1"/>
  <c r="P77" i="1"/>
  <c r="AC77" i="1" s="1"/>
  <c r="P30" i="1"/>
  <c r="AC30" i="1" s="1"/>
  <c r="Q30" i="1"/>
  <c r="AD30" i="1" s="1"/>
  <c r="R30" i="1"/>
  <c r="AE30" i="1" s="1"/>
  <c r="P35" i="1"/>
  <c r="AC35" i="1" s="1"/>
  <c r="Q35" i="1"/>
  <c r="AD35" i="1" s="1"/>
  <c r="R35" i="1"/>
  <c r="AE35" i="1" s="1"/>
  <c r="P29" i="1"/>
  <c r="AC29" i="1" s="1"/>
  <c r="Q29" i="1"/>
  <c r="AD29" i="1" s="1"/>
  <c r="R29" i="1"/>
  <c r="AE29" i="1" s="1"/>
  <c r="P58" i="1"/>
  <c r="AC58" i="1" s="1"/>
  <c r="Q58" i="1"/>
  <c r="AD58" i="1" s="1"/>
  <c r="R58" i="1"/>
  <c r="AE58" i="1" s="1"/>
  <c r="S58" i="1"/>
  <c r="T58" i="1"/>
  <c r="U58" i="1"/>
  <c r="V58" i="1"/>
  <c r="W58" i="1"/>
  <c r="X58" i="1"/>
  <c r="Y58" i="1"/>
  <c r="Z58" i="1"/>
  <c r="AA58" i="1"/>
  <c r="AB58" i="1"/>
  <c r="P65" i="1"/>
  <c r="AC65" i="1" s="1"/>
  <c r="Q65" i="1"/>
  <c r="AD65" i="1" s="1"/>
  <c r="R65" i="1"/>
  <c r="AE65" i="1" s="1"/>
  <c r="S65" i="1"/>
  <c r="AF65" i="1" s="1"/>
  <c r="T65" i="1"/>
  <c r="AG65" i="1" s="1"/>
  <c r="U65" i="1"/>
  <c r="AH65" i="1" s="1"/>
  <c r="V65" i="1"/>
  <c r="AI65" i="1" s="1"/>
  <c r="W65" i="1"/>
  <c r="AJ65" i="1" s="1"/>
  <c r="X65" i="1"/>
  <c r="AK65" i="1" s="1"/>
  <c r="Y65" i="1"/>
  <c r="AL65" i="1" s="1"/>
  <c r="Z65" i="1"/>
  <c r="AM65" i="1" s="1"/>
  <c r="AA65" i="1"/>
  <c r="AN65" i="1" s="1"/>
  <c r="AB65" i="1"/>
  <c r="AO65" i="1" s="1"/>
  <c r="P72" i="1"/>
  <c r="AC72" i="1" s="1"/>
  <c r="Q72" i="1"/>
  <c r="AD72" i="1" s="1"/>
  <c r="R72" i="1"/>
  <c r="AE72" i="1" s="1"/>
  <c r="S72" i="1"/>
  <c r="AF72" i="1" s="1"/>
  <c r="T72" i="1"/>
  <c r="AG72" i="1" s="1"/>
  <c r="U72" i="1"/>
  <c r="AH72" i="1" s="1"/>
  <c r="V72" i="1"/>
  <c r="AI72" i="1" s="1"/>
  <c r="W72" i="1"/>
  <c r="AJ72" i="1" s="1"/>
  <c r="X72" i="1"/>
  <c r="Y72" i="1"/>
  <c r="Z72" i="1"/>
  <c r="AA72" i="1"/>
  <c r="AB72" i="1"/>
  <c r="P70" i="1"/>
  <c r="Q70" i="1"/>
  <c r="AD70" i="1" s="1"/>
  <c r="R70" i="1"/>
  <c r="AE70" i="1" s="1"/>
  <c r="S70" i="1"/>
  <c r="AF70" i="1" s="1"/>
  <c r="T70" i="1"/>
  <c r="AG70" i="1" s="1"/>
  <c r="U70" i="1"/>
  <c r="AH70" i="1" s="1"/>
  <c r="V70" i="1"/>
  <c r="AI70" i="1" s="1"/>
  <c r="W70" i="1"/>
  <c r="AJ70" i="1" s="1"/>
  <c r="X70" i="1"/>
  <c r="AK70" i="1" s="1"/>
  <c r="Y70" i="1"/>
  <c r="AL70" i="1" s="1"/>
  <c r="Z70" i="1"/>
  <c r="AM70" i="1" s="1"/>
  <c r="AA70" i="1"/>
  <c r="AN70" i="1" s="1"/>
  <c r="AB70" i="1"/>
  <c r="AO70" i="1" s="1"/>
  <c r="P71" i="1"/>
  <c r="AC71" i="1" s="1"/>
  <c r="Q71" i="1"/>
  <c r="AD71" i="1" s="1"/>
  <c r="R71" i="1"/>
  <c r="AE71" i="1" s="1"/>
  <c r="S71" i="1"/>
  <c r="AF71" i="1" s="1"/>
  <c r="T71" i="1"/>
  <c r="AG71" i="1" s="1"/>
  <c r="U71" i="1"/>
  <c r="AH71" i="1" s="1"/>
  <c r="V71" i="1"/>
  <c r="AI71" i="1" s="1"/>
  <c r="W71" i="1"/>
  <c r="AJ71" i="1" s="1"/>
  <c r="X71" i="1"/>
  <c r="Y71" i="1"/>
  <c r="Z71" i="1"/>
  <c r="AA71" i="1"/>
  <c r="AB71" i="1"/>
  <c r="P24" i="1"/>
  <c r="AC24" i="1" s="1"/>
  <c r="Q24" i="1"/>
  <c r="AD24" i="1" s="1"/>
  <c r="R24" i="1"/>
  <c r="AE24" i="1" s="1"/>
  <c r="P48" i="1"/>
  <c r="AC48" i="1" s="1"/>
  <c r="Q48" i="1"/>
  <c r="AD48" i="1" s="1"/>
  <c r="R48" i="1"/>
  <c r="AE48" i="1" s="1"/>
  <c r="S48" i="1"/>
  <c r="AF48" i="1" s="1"/>
  <c r="T48" i="1"/>
  <c r="AG48" i="1" s="1"/>
  <c r="U48" i="1"/>
  <c r="AH48" i="1" s="1"/>
  <c r="V48" i="1"/>
  <c r="AI48" i="1" s="1"/>
  <c r="W48" i="1"/>
  <c r="AJ48" i="1" s="1"/>
  <c r="X48" i="1"/>
  <c r="AK48" i="1" s="1"/>
  <c r="Y48" i="1"/>
  <c r="AL48" i="1" s="1"/>
  <c r="Z48" i="1"/>
  <c r="AM48" i="1" s="1"/>
  <c r="AA48" i="1"/>
  <c r="AN48" i="1" s="1"/>
  <c r="AB48" i="1"/>
  <c r="AO48" i="1" s="1"/>
  <c r="P14" i="1"/>
  <c r="AC14" i="1" s="1"/>
  <c r="Q14" i="1"/>
  <c r="R14" i="1"/>
  <c r="AE14" i="1" s="1"/>
  <c r="P31" i="1"/>
  <c r="AC31" i="1" s="1"/>
  <c r="Q31" i="1"/>
  <c r="AD31" i="1" s="1"/>
  <c r="R31" i="1"/>
  <c r="AE31" i="1" s="1"/>
  <c r="P66" i="1"/>
  <c r="AC66" i="1" s="1"/>
  <c r="Q66" i="1"/>
  <c r="AD66" i="1" s="1"/>
  <c r="R66" i="1"/>
  <c r="AE66" i="1" s="1"/>
  <c r="S66" i="1"/>
  <c r="AF66" i="1" s="1"/>
  <c r="T66" i="1"/>
  <c r="AG66" i="1" s="1"/>
  <c r="U66" i="1"/>
  <c r="AH66" i="1" s="1"/>
  <c r="V66" i="1"/>
  <c r="AI66" i="1" s="1"/>
  <c r="W66" i="1"/>
  <c r="AJ66" i="1" s="1"/>
  <c r="X66" i="1"/>
  <c r="AK66" i="1" s="1"/>
  <c r="Y66" i="1"/>
  <c r="AL66" i="1" s="1"/>
  <c r="Z66" i="1"/>
  <c r="AM66" i="1" s="1"/>
  <c r="AA66" i="1"/>
  <c r="AN66" i="1" s="1"/>
  <c r="AB66" i="1"/>
  <c r="AO66" i="1" s="1"/>
  <c r="O42" i="1"/>
  <c r="P47" i="1"/>
  <c r="AC47" i="1" s="1"/>
  <c r="Q47" i="1"/>
  <c r="AD47" i="1" s="1"/>
  <c r="R47" i="1"/>
  <c r="AE47" i="1" s="1"/>
  <c r="S47" i="1"/>
  <c r="AF47" i="1" s="1"/>
  <c r="T47" i="1"/>
  <c r="AG47" i="1" s="1"/>
  <c r="U47" i="1"/>
  <c r="AH47" i="1" s="1"/>
  <c r="V47" i="1"/>
  <c r="AI47" i="1" s="1"/>
  <c r="W47" i="1"/>
  <c r="AJ47" i="1" s="1"/>
  <c r="X47" i="1"/>
  <c r="Y47" i="1"/>
  <c r="Z47" i="1"/>
  <c r="AA47" i="1"/>
  <c r="AB47" i="1"/>
  <c r="P46" i="1"/>
  <c r="AC46" i="1" s="1"/>
  <c r="Q46" i="1"/>
  <c r="AD46" i="1" s="1"/>
  <c r="R46" i="1"/>
  <c r="AE46" i="1" s="1"/>
  <c r="S46" i="1"/>
  <c r="T46" i="1"/>
  <c r="U46" i="1"/>
  <c r="V46" i="1"/>
  <c r="W46" i="1"/>
  <c r="X46" i="1"/>
  <c r="AK46" i="1" s="1"/>
  <c r="Y46" i="1"/>
  <c r="AL46" i="1" s="1"/>
  <c r="Z46" i="1"/>
  <c r="AM46" i="1" s="1"/>
  <c r="AA46" i="1"/>
  <c r="AN46" i="1" s="1"/>
  <c r="AB46" i="1"/>
  <c r="AO46" i="1" s="1"/>
  <c r="P4" i="1"/>
  <c r="Q4" i="1"/>
  <c r="R4" i="1"/>
  <c r="AE4" i="1" s="1"/>
  <c r="X4" i="1"/>
  <c r="P5" i="1"/>
  <c r="AC5" i="1" s="1"/>
  <c r="Q5" i="1"/>
  <c r="AD5" i="1" s="1"/>
  <c r="R5" i="1"/>
  <c r="AE5" i="1" s="1"/>
  <c r="P6" i="1"/>
  <c r="AC6" i="1" s="1"/>
  <c r="Q6" i="1"/>
  <c r="AD6" i="1" s="1"/>
  <c r="R6" i="1"/>
  <c r="AE6" i="1" s="1"/>
  <c r="P7" i="1"/>
  <c r="AC7" i="1" s="1"/>
  <c r="Q7" i="1"/>
  <c r="AD7" i="1" s="1"/>
  <c r="R7" i="1"/>
  <c r="AE7" i="1" s="1"/>
  <c r="P8" i="1"/>
  <c r="AC8" i="1" s="1"/>
  <c r="Q8" i="1"/>
  <c r="R8" i="1"/>
  <c r="AE8" i="1" s="1"/>
  <c r="P9" i="1"/>
  <c r="AC9" i="1" s="1"/>
  <c r="Q9" i="1"/>
  <c r="AD9" i="1" s="1"/>
  <c r="R9" i="1"/>
  <c r="AE9" i="1" s="1"/>
  <c r="P10" i="1"/>
  <c r="AC10" i="1" s="1"/>
  <c r="Q10" i="1"/>
  <c r="AD10" i="1" s="1"/>
  <c r="R10" i="1"/>
  <c r="AE10" i="1" s="1"/>
  <c r="P11" i="1"/>
  <c r="AC11" i="1" s="1"/>
  <c r="Q11" i="1"/>
  <c r="AD11" i="1" s="1"/>
  <c r="R11" i="1"/>
  <c r="AE11" i="1" s="1"/>
  <c r="P12" i="1"/>
  <c r="AC12" i="1" s="1"/>
  <c r="Q12" i="1"/>
  <c r="AD12" i="1" s="1"/>
  <c r="R12" i="1"/>
  <c r="AE12" i="1" s="1"/>
  <c r="P13" i="1"/>
  <c r="AC13" i="1" s="1"/>
  <c r="Q13" i="1"/>
  <c r="AD13" i="1" s="1"/>
  <c r="R13" i="1"/>
  <c r="AE13" i="1" s="1"/>
  <c r="P16" i="1"/>
  <c r="AC16" i="1" s="1"/>
  <c r="Q16" i="1"/>
  <c r="AD16" i="1" s="1"/>
  <c r="R16" i="1"/>
  <c r="AE16" i="1" s="1"/>
  <c r="P17" i="1"/>
  <c r="AC17" i="1" s="1"/>
  <c r="Q17" i="1"/>
  <c r="R17" i="1"/>
  <c r="AE17" i="1" s="1"/>
  <c r="P18" i="1"/>
  <c r="AC18" i="1" s="1"/>
  <c r="Q18" i="1"/>
  <c r="AD18" i="1" s="1"/>
  <c r="R18" i="1"/>
  <c r="AE18" i="1" s="1"/>
  <c r="P21" i="1"/>
  <c r="AC21" i="1" s="1"/>
  <c r="Q21" i="1"/>
  <c r="AD21" i="1" s="1"/>
  <c r="R21" i="1"/>
  <c r="AE21" i="1" s="1"/>
  <c r="P33" i="1"/>
  <c r="AC33" i="1" s="1"/>
  <c r="Q33" i="1"/>
  <c r="AD33" i="1" s="1"/>
  <c r="R33" i="1"/>
  <c r="AE33" i="1" s="1"/>
  <c r="P34" i="1"/>
  <c r="AC34" i="1" s="1"/>
  <c r="Q34" i="1"/>
  <c r="AD34" i="1" s="1"/>
  <c r="R34" i="1"/>
  <c r="AE34" i="1" s="1"/>
  <c r="P37" i="1"/>
  <c r="AC37" i="1" s="1"/>
  <c r="Q37" i="1"/>
  <c r="AD37" i="1" s="1"/>
  <c r="R37" i="1"/>
  <c r="AE37" i="1" s="1"/>
  <c r="P69" i="1"/>
  <c r="AC69" i="1" s="1"/>
  <c r="Q69" i="1"/>
  <c r="AD69" i="1" s="1"/>
  <c r="R69" i="1"/>
  <c r="AE69" i="1" s="1"/>
  <c r="S69" i="1"/>
  <c r="AF69" i="1" s="1"/>
  <c r="T69" i="1"/>
  <c r="AG69" i="1" s="1"/>
  <c r="U69" i="1"/>
  <c r="AH69" i="1" s="1"/>
  <c r="V69" i="1"/>
  <c r="AI69" i="1" s="1"/>
  <c r="W69" i="1"/>
  <c r="AJ69" i="1" s="1"/>
  <c r="X69" i="1"/>
  <c r="Y69" i="1"/>
  <c r="Z69" i="1"/>
  <c r="AA69" i="1"/>
  <c r="AB69" i="1"/>
  <c r="P53" i="1"/>
  <c r="AC53" i="1" s="1"/>
  <c r="Q53" i="1"/>
  <c r="AD53" i="1" s="1"/>
  <c r="R53" i="1"/>
  <c r="AE53" i="1" s="1"/>
  <c r="S53" i="1"/>
  <c r="AF53" i="1" s="1"/>
  <c r="T53" i="1"/>
  <c r="AG53" i="1" s="1"/>
  <c r="U53" i="1"/>
  <c r="AH53" i="1" s="1"/>
  <c r="V53" i="1"/>
  <c r="AI53" i="1" s="1"/>
  <c r="W53" i="1"/>
  <c r="AJ53" i="1" s="1"/>
  <c r="X53" i="1"/>
  <c r="Y53" i="1"/>
  <c r="Z53" i="1"/>
  <c r="AA53" i="1"/>
  <c r="AB53" i="1"/>
  <c r="P52" i="1"/>
  <c r="AC52" i="1" s="1"/>
  <c r="Q52" i="1"/>
  <c r="AD52" i="1" s="1"/>
  <c r="R52" i="1"/>
  <c r="AE52" i="1" s="1"/>
  <c r="S52" i="1"/>
  <c r="T52" i="1"/>
  <c r="U52" i="1"/>
  <c r="V52" i="1"/>
  <c r="W52" i="1"/>
  <c r="X52" i="1"/>
  <c r="Y52" i="1"/>
  <c r="Z52" i="1"/>
  <c r="AA52" i="1"/>
  <c r="AB52" i="1"/>
  <c r="P76" i="1"/>
  <c r="AC76" i="1" s="1"/>
  <c r="Q76" i="1"/>
  <c r="AD76" i="1" s="1"/>
  <c r="R76" i="1"/>
  <c r="AE76" i="1" s="1"/>
  <c r="S76" i="1"/>
  <c r="AF76" i="1" s="1"/>
  <c r="T76" i="1"/>
  <c r="U76" i="1"/>
  <c r="AH76" i="1" s="1"/>
  <c r="V76" i="1"/>
  <c r="AI76" i="1" s="1"/>
  <c r="W76" i="1"/>
  <c r="X76" i="1"/>
  <c r="AK76" i="1" s="1"/>
  <c r="Y76" i="1"/>
  <c r="Z76" i="1"/>
  <c r="AM76" i="1" s="1"/>
  <c r="AA76" i="1"/>
  <c r="AN76" i="1" s="1"/>
  <c r="AB76" i="1"/>
  <c r="P87" i="1"/>
  <c r="AC87" i="1" s="1"/>
  <c r="Q87" i="1"/>
  <c r="AD87" i="1" s="1"/>
  <c r="R87" i="1"/>
  <c r="AE87" i="1" s="1"/>
  <c r="S87" i="1"/>
  <c r="T87" i="1"/>
  <c r="U87" i="1"/>
  <c r="V87" i="1"/>
  <c r="W87" i="1"/>
  <c r="X87" i="1"/>
  <c r="Y87" i="1"/>
  <c r="Z87" i="1"/>
  <c r="AA87" i="1"/>
  <c r="AB87" i="1"/>
  <c r="AB79" i="1"/>
  <c r="AA79" i="1"/>
  <c r="AN79" i="1" s="1"/>
  <c r="Z79" i="1"/>
  <c r="Y79" i="1"/>
  <c r="AL79" i="1" s="1"/>
  <c r="X79" i="1"/>
  <c r="W79" i="1"/>
  <c r="V79" i="1"/>
  <c r="AI79" i="1" s="1"/>
  <c r="U79" i="1"/>
  <c r="T79" i="1"/>
  <c r="AG79" i="1" s="1"/>
  <c r="S79" i="1"/>
  <c r="R79" i="1"/>
  <c r="AE79" i="1" s="1"/>
  <c r="Q79" i="1"/>
  <c r="P79" i="1"/>
  <c r="AC79" i="1" s="1"/>
  <c r="P68" i="1"/>
  <c r="AC68" i="1" s="1"/>
  <c r="Q68" i="1"/>
  <c r="AD68" i="1" s="1"/>
  <c r="R68" i="1"/>
  <c r="AE68" i="1" s="1"/>
  <c r="S68" i="1"/>
  <c r="AF68" i="1" s="1"/>
  <c r="T68" i="1"/>
  <c r="AG68" i="1" s="1"/>
  <c r="U68" i="1"/>
  <c r="AH68" i="1" s="1"/>
  <c r="V68" i="1"/>
  <c r="AI68" i="1" s="1"/>
  <c r="W68" i="1"/>
  <c r="AJ68" i="1" s="1"/>
  <c r="X68" i="1"/>
  <c r="Y68" i="1"/>
  <c r="Z68" i="1"/>
  <c r="AA68" i="1"/>
  <c r="AB68" i="1"/>
  <c r="P59" i="1"/>
  <c r="AC59" i="1" s="1"/>
  <c r="Q59" i="1"/>
  <c r="AD59" i="1" s="1"/>
  <c r="R59" i="1"/>
  <c r="AE59" i="1" s="1"/>
  <c r="S59" i="1"/>
  <c r="AF59" i="1" s="1"/>
  <c r="T59" i="1"/>
  <c r="AG59" i="1" s="1"/>
  <c r="U59" i="1"/>
  <c r="AH59" i="1" s="1"/>
  <c r="V59" i="1"/>
  <c r="AI59" i="1" s="1"/>
  <c r="W59" i="1"/>
  <c r="AJ59" i="1" s="1"/>
  <c r="X59" i="1"/>
  <c r="AK59" i="1" s="1"/>
  <c r="Y59" i="1"/>
  <c r="AL59" i="1" s="1"/>
  <c r="Z59" i="1"/>
  <c r="AM59" i="1" s="1"/>
  <c r="AA59" i="1"/>
  <c r="AN59" i="1" s="1"/>
  <c r="AB59" i="1"/>
  <c r="AO59" i="1" s="1"/>
  <c r="AK10" i="1" l="1"/>
  <c r="AK28" i="1"/>
  <c r="AK20" i="1"/>
  <c r="AK21" i="1"/>
  <c r="AK29" i="1"/>
  <c r="AK7" i="1"/>
  <c r="AK32" i="1"/>
  <c r="AK38" i="1"/>
  <c r="AK23" i="1"/>
  <c r="AK36" i="1"/>
  <c r="AK15" i="1"/>
  <c r="AK24" i="1"/>
  <c r="AK16" i="1"/>
  <c r="AD14" i="1"/>
  <c r="AD8" i="1"/>
  <c r="C30" i="5"/>
  <c r="B30" i="5"/>
  <c r="E30" i="5" s="1"/>
  <c r="AD27" i="1"/>
  <c r="AC4" i="1"/>
  <c r="C6" i="10" s="1"/>
  <c r="AC25" i="1"/>
  <c r="AD17" i="1"/>
  <c r="AD79" i="1"/>
  <c r="C26" i="4"/>
  <c r="I6" i="10"/>
  <c r="C26" i="10"/>
  <c r="D26" i="10" s="1"/>
  <c r="C27" i="10"/>
  <c r="D27" i="10" s="1"/>
  <c r="B26" i="10"/>
  <c r="E26" i="10" s="1"/>
  <c r="B27" i="10"/>
  <c r="E27" i="10" s="1"/>
  <c r="B25" i="10"/>
  <c r="E25" i="10" s="1"/>
  <c r="C25" i="10"/>
  <c r="D25" i="10" s="1"/>
  <c r="B6" i="10"/>
  <c r="E6" i="10" s="1"/>
  <c r="B6" i="4"/>
  <c r="E6" i="4" s="1"/>
  <c r="AD4" i="1"/>
  <c r="AO87" i="1"/>
  <c r="AN87" i="1"/>
  <c r="AL87" i="1"/>
  <c r="AM87" i="1"/>
  <c r="AK87" i="1"/>
  <c r="AK4" i="1"/>
  <c r="AN4" i="1"/>
  <c r="AO4" i="1"/>
  <c r="AM4" i="1"/>
  <c r="AL4" i="1"/>
  <c r="P51" i="1"/>
  <c r="Q51" i="1"/>
  <c r="AD51" i="1" s="1"/>
  <c r="R51" i="1"/>
  <c r="AE51" i="1" s="1"/>
  <c r="S51" i="1"/>
  <c r="AF51" i="1" s="1"/>
  <c r="T51" i="1"/>
  <c r="AG51" i="1" s="1"/>
  <c r="U51" i="1"/>
  <c r="AH51" i="1" s="1"/>
  <c r="V51" i="1"/>
  <c r="AI51" i="1" s="1"/>
  <c r="W51" i="1"/>
  <c r="AJ51" i="1" s="1"/>
  <c r="X51" i="1"/>
  <c r="AK51" i="1" s="1"/>
  <c r="Y51" i="1"/>
  <c r="AL51" i="1" s="1"/>
  <c r="Z51" i="1"/>
  <c r="AM51" i="1" s="1"/>
  <c r="AA51" i="1"/>
  <c r="AN51" i="1" s="1"/>
  <c r="AB51" i="1"/>
  <c r="AO51" i="1" s="1"/>
  <c r="P83" i="1"/>
  <c r="Q83" i="1"/>
  <c r="AD83" i="1" s="1"/>
  <c r="R83" i="1"/>
  <c r="AE83" i="1" s="1"/>
  <c r="S83" i="1"/>
  <c r="AF83" i="1" s="1"/>
  <c r="T83" i="1"/>
  <c r="AG83" i="1" s="1"/>
  <c r="U83" i="1"/>
  <c r="AH83" i="1" s="1"/>
  <c r="V83" i="1"/>
  <c r="AI83" i="1" s="1"/>
  <c r="W83" i="1"/>
  <c r="X83" i="1"/>
  <c r="AK83" i="1" s="1"/>
  <c r="Y83" i="1"/>
  <c r="AL83" i="1" s="1"/>
  <c r="Z83" i="1"/>
  <c r="AM83" i="1" s="1"/>
  <c r="AA83" i="1"/>
  <c r="AN83" i="1" s="1"/>
  <c r="AB83" i="1"/>
  <c r="AO83" i="1" s="1"/>
  <c r="P64" i="1"/>
  <c r="AC64" i="1" s="1"/>
  <c r="Q64" i="1"/>
  <c r="AD64" i="1" s="1"/>
  <c r="R64" i="1"/>
  <c r="AE64" i="1" s="1"/>
  <c r="S64" i="1"/>
  <c r="T64" i="1"/>
  <c r="U64" i="1"/>
  <c r="V64" i="1"/>
  <c r="W64" i="1"/>
  <c r="X64" i="1"/>
  <c r="Y64" i="1"/>
  <c r="Z64" i="1"/>
  <c r="AA64" i="1"/>
  <c r="AB64" i="1"/>
  <c r="P50" i="1"/>
  <c r="AC50" i="1" s="1"/>
  <c r="Q50" i="1"/>
  <c r="AD50" i="1" s="1"/>
  <c r="R50" i="1"/>
  <c r="AE50" i="1" s="1"/>
  <c r="S50" i="1"/>
  <c r="AF50" i="1" s="1"/>
  <c r="T50" i="1"/>
  <c r="AG50" i="1" s="1"/>
  <c r="U50" i="1"/>
  <c r="AH50" i="1" s="1"/>
  <c r="V50" i="1"/>
  <c r="AI50" i="1" s="1"/>
  <c r="W50" i="1"/>
  <c r="AJ50" i="1" s="1"/>
  <c r="X50" i="1"/>
  <c r="Y50" i="1"/>
  <c r="Z50" i="1"/>
  <c r="AA50" i="1"/>
  <c r="AB50" i="1"/>
  <c r="P49" i="1"/>
  <c r="AC49" i="1" s="1"/>
  <c r="Q49" i="1"/>
  <c r="AD49" i="1" s="1"/>
  <c r="R49" i="1"/>
  <c r="AE49" i="1" s="1"/>
  <c r="S49" i="1"/>
  <c r="T49" i="1"/>
  <c r="U49" i="1"/>
  <c r="V49" i="1"/>
  <c r="W49" i="1"/>
  <c r="X49" i="1"/>
  <c r="Y49" i="1"/>
  <c r="Z49" i="1"/>
  <c r="AA49" i="1"/>
  <c r="AB49" i="1"/>
  <c r="P56" i="1"/>
  <c r="AC56" i="1" s="1"/>
  <c r="Q56" i="1"/>
  <c r="AD56" i="1" s="1"/>
  <c r="R56" i="1"/>
  <c r="AE56" i="1" s="1"/>
  <c r="S56" i="1"/>
  <c r="AF56" i="1" s="1"/>
  <c r="T56" i="1"/>
  <c r="AG56" i="1" s="1"/>
  <c r="U56" i="1"/>
  <c r="AH56" i="1" s="1"/>
  <c r="V56" i="1"/>
  <c r="AI56" i="1" s="1"/>
  <c r="W56" i="1"/>
  <c r="AJ56" i="1" s="1"/>
  <c r="X56" i="1"/>
  <c r="AK56" i="1" s="1"/>
  <c r="Y56" i="1"/>
  <c r="AL56" i="1" s="1"/>
  <c r="Z56" i="1"/>
  <c r="AM56" i="1" s="1"/>
  <c r="AA56" i="1"/>
  <c r="AN56" i="1" s="1"/>
  <c r="AB56" i="1"/>
  <c r="AO56" i="1" s="1"/>
  <c r="O52" i="5" l="1"/>
  <c r="N52" i="5"/>
  <c r="Q52" i="5" s="1"/>
  <c r="H18" i="5"/>
  <c r="K18" i="5" s="1"/>
  <c r="I18" i="5"/>
  <c r="C26" i="5"/>
  <c r="D26" i="5" s="1"/>
  <c r="B26" i="5"/>
  <c r="E26" i="5" s="1"/>
  <c r="C25" i="5"/>
  <c r="D25" i="5" s="1"/>
  <c r="C29" i="5"/>
  <c r="D29" i="5" s="1"/>
  <c r="B24" i="5"/>
  <c r="E24" i="5" s="1"/>
  <c r="B29" i="5"/>
  <c r="E29" i="5" s="1"/>
  <c r="B28" i="5"/>
  <c r="E28" i="5" s="1"/>
  <c r="B22" i="5"/>
  <c r="E22" i="5" s="1"/>
  <c r="B23" i="5"/>
  <c r="E23" i="5" s="1"/>
  <c r="C22" i="5"/>
  <c r="C28" i="5"/>
  <c r="D28" i="5" s="1"/>
  <c r="C27" i="5"/>
  <c r="D27" i="5" s="1"/>
  <c r="B27" i="5"/>
  <c r="E27" i="5" s="1"/>
  <c r="B25" i="5"/>
  <c r="E25" i="5" s="1"/>
  <c r="C23" i="5"/>
  <c r="D23" i="5" s="1"/>
  <c r="C24" i="5"/>
  <c r="D24" i="5" s="1"/>
  <c r="I52" i="5"/>
  <c r="H52" i="5"/>
  <c r="K52" i="5" s="1"/>
  <c r="C52" i="5"/>
  <c r="B52" i="5"/>
  <c r="E52" i="5" s="1"/>
  <c r="C17" i="5"/>
  <c r="D17" i="5" s="1"/>
  <c r="C11" i="5"/>
  <c r="D11" i="5" s="1"/>
  <c r="B17" i="5"/>
  <c r="E17" i="5" s="1"/>
  <c r="B11" i="5"/>
  <c r="E11" i="5" s="1"/>
  <c r="C5" i="5"/>
  <c r="C16" i="5"/>
  <c r="D16" i="5" s="1"/>
  <c r="C10" i="5"/>
  <c r="D10" i="5" s="1"/>
  <c r="B5" i="5"/>
  <c r="E5" i="5" s="1"/>
  <c r="C18" i="5"/>
  <c r="D18" i="5" s="1"/>
  <c r="C9" i="5"/>
  <c r="D9" i="5" s="1"/>
  <c r="C15" i="5"/>
  <c r="D15" i="5" s="1"/>
  <c r="B8" i="5"/>
  <c r="E8" i="5" s="1"/>
  <c r="B15" i="5"/>
  <c r="E15" i="5" s="1"/>
  <c r="C7" i="5"/>
  <c r="D7" i="5" s="1"/>
  <c r="C13" i="5"/>
  <c r="D13" i="5" s="1"/>
  <c r="C19" i="5"/>
  <c r="D19" i="5" s="1"/>
  <c r="B7" i="5"/>
  <c r="E7" i="5" s="1"/>
  <c r="C6" i="5"/>
  <c r="D6" i="5" s="1"/>
  <c r="B13" i="5"/>
  <c r="E13" i="5" s="1"/>
  <c r="B19" i="5"/>
  <c r="E19" i="5" s="1"/>
  <c r="B18" i="5"/>
  <c r="E18" i="5" s="1"/>
  <c r="C21" i="5"/>
  <c r="D21" i="5" s="1"/>
  <c r="C12" i="5"/>
  <c r="D12" i="5" s="1"/>
  <c r="B21" i="5"/>
  <c r="E21" i="5" s="1"/>
  <c r="B12" i="5"/>
  <c r="E12" i="5" s="1"/>
  <c r="C20" i="5"/>
  <c r="D20" i="5" s="1"/>
  <c r="B10" i="5"/>
  <c r="E10" i="5" s="1"/>
  <c r="B20" i="5"/>
  <c r="E20" i="5" s="1"/>
  <c r="B9" i="5"/>
  <c r="E9" i="5" s="1"/>
  <c r="C8" i="5"/>
  <c r="D8" i="5" s="1"/>
  <c r="B16" i="5"/>
  <c r="E16" i="5" s="1"/>
  <c r="C14" i="5"/>
  <c r="D14" i="5" s="1"/>
  <c r="B14" i="5"/>
  <c r="E14" i="5" s="1"/>
  <c r="B6" i="5"/>
  <c r="E6" i="5" s="1"/>
  <c r="N18" i="5"/>
  <c r="Q18" i="5" s="1"/>
  <c r="O18" i="5"/>
  <c r="C6" i="4"/>
  <c r="H6" i="4"/>
  <c r="K6" i="4" s="1"/>
  <c r="C28" i="4"/>
  <c r="O8" i="4"/>
  <c r="B33" i="10"/>
  <c r="E33" i="10" s="1"/>
  <c r="B26" i="4"/>
  <c r="E26" i="4" s="1"/>
  <c r="C33" i="10"/>
  <c r="D33" i="10" s="1"/>
  <c r="I26" i="4"/>
  <c r="H26" i="4"/>
  <c r="K26" i="4" s="1"/>
  <c r="N6" i="10"/>
  <c r="Q6" i="10" s="1"/>
  <c r="I7" i="4"/>
  <c r="I35" i="10"/>
  <c r="J35" i="10" s="1"/>
  <c r="I6" i="4"/>
  <c r="H33" i="10"/>
  <c r="K33" i="10" s="1"/>
  <c r="H7" i="10"/>
  <c r="K7" i="10" s="1"/>
  <c r="O6" i="10"/>
  <c r="P6" i="10" s="1"/>
  <c r="N6" i="4"/>
  <c r="Q6" i="4" s="1"/>
  <c r="I33" i="10"/>
  <c r="J33" i="10" s="1"/>
  <c r="H6" i="10"/>
  <c r="K6" i="10" s="1"/>
  <c r="O6" i="4"/>
  <c r="O12" i="10"/>
  <c r="P12" i="10" s="1"/>
  <c r="N10" i="10"/>
  <c r="Q10" i="10" s="1"/>
  <c r="B38" i="10"/>
  <c r="E38" i="10" s="1"/>
  <c r="H10" i="10"/>
  <c r="K10" i="10" s="1"/>
  <c r="I8" i="10"/>
  <c r="J8" i="10" s="1"/>
  <c r="C14" i="10"/>
  <c r="D14" i="10" s="1"/>
  <c r="H39" i="10"/>
  <c r="K39" i="10" s="1"/>
  <c r="C25" i="4"/>
  <c r="O26" i="4"/>
  <c r="I12" i="10"/>
  <c r="J12" i="10" s="1"/>
  <c r="B39" i="10"/>
  <c r="E39" i="10" s="1"/>
  <c r="I9" i="10"/>
  <c r="J9" i="10" s="1"/>
  <c r="H28" i="4"/>
  <c r="K28" i="4" s="1"/>
  <c r="O7" i="4"/>
  <c r="C5" i="4"/>
  <c r="O7" i="10"/>
  <c r="P7" i="10" s="1"/>
  <c r="N12" i="10"/>
  <c r="Q12" i="10" s="1"/>
  <c r="N34" i="10"/>
  <c r="Q34" i="10" s="1"/>
  <c r="C36" i="10"/>
  <c r="D36" i="10" s="1"/>
  <c r="C15" i="10"/>
  <c r="D15" i="10" s="1"/>
  <c r="O5" i="10"/>
  <c r="P5" i="10" s="1"/>
  <c r="H9" i="10"/>
  <c r="K9" i="10" s="1"/>
  <c r="N35" i="10"/>
  <c r="Q35" i="10" s="1"/>
  <c r="O36" i="10"/>
  <c r="P36" i="10" s="1"/>
  <c r="I37" i="10"/>
  <c r="J37" i="10" s="1"/>
  <c r="C7" i="10"/>
  <c r="D7" i="10" s="1"/>
  <c r="O5" i="4"/>
  <c r="C35" i="10"/>
  <c r="D35" i="10" s="1"/>
  <c r="O49" i="10"/>
  <c r="P49" i="10" s="1"/>
  <c r="N43" i="10"/>
  <c r="Q43" i="10" s="1"/>
  <c r="O39" i="4"/>
  <c r="O41" i="10"/>
  <c r="P41" i="10" s="1"/>
  <c r="O52" i="10"/>
  <c r="P52" i="10" s="1"/>
  <c r="O48" i="10"/>
  <c r="P48" i="10" s="1"/>
  <c r="N46" i="10"/>
  <c r="Q46" i="10" s="1"/>
  <c r="N52" i="10"/>
  <c r="Q52" i="10" s="1"/>
  <c r="N45" i="10"/>
  <c r="Q45" i="10" s="1"/>
  <c r="O53" i="10"/>
  <c r="P53" i="10" s="1"/>
  <c r="N32" i="4"/>
  <c r="Q32" i="4" s="1"/>
  <c r="N31" i="4"/>
  <c r="Q31" i="4" s="1"/>
  <c r="N36" i="4"/>
  <c r="Q36" i="4" s="1"/>
  <c r="N44" i="10"/>
  <c r="Q44" i="10" s="1"/>
  <c r="N51" i="10"/>
  <c r="Q51" i="10" s="1"/>
  <c r="O34" i="4"/>
  <c r="O46" i="10"/>
  <c r="P46" i="10" s="1"/>
  <c r="O31" i="4"/>
  <c r="O33" i="4"/>
  <c r="O30" i="4"/>
  <c r="N40" i="10"/>
  <c r="Q40" i="10" s="1"/>
  <c r="N33" i="4"/>
  <c r="Q33" i="4" s="1"/>
  <c r="N37" i="4"/>
  <c r="Q37" i="4" s="1"/>
  <c r="N50" i="10"/>
  <c r="Q50" i="10" s="1"/>
  <c r="N29" i="4"/>
  <c r="Q29" i="4" s="1"/>
  <c r="O50" i="10"/>
  <c r="P50" i="10" s="1"/>
  <c r="O47" i="10"/>
  <c r="P47" i="10" s="1"/>
  <c r="O43" i="10"/>
  <c r="P43" i="10" s="1"/>
  <c r="N41" i="10"/>
  <c r="Q41" i="10" s="1"/>
  <c r="N40" i="4"/>
  <c r="Q40" i="4" s="1"/>
  <c r="N42" i="10"/>
  <c r="Q42" i="10" s="1"/>
  <c r="O40" i="10"/>
  <c r="P40" i="10" s="1"/>
  <c r="N30" i="4"/>
  <c r="Q30" i="4" s="1"/>
  <c r="N34" i="4"/>
  <c r="Q34" i="4" s="1"/>
  <c r="O35" i="4"/>
  <c r="N53" i="10"/>
  <c r="Q53" i="10" s="1"/>
  <c r="O36" i="4"/>
  <c r="O37" i="4"/>
  <c r="N54" i="10"/>
  <c r="Q54" i="10" s="1"/>
  <c r="O44" i="10"/>
  <c r="P44" i="10" s="1"/>
  <c r="O42" i="10"/>
  <c r="P42" i="10" s="1"/>
  <c r="O29" i="4"/>
  <c r="O54" i="10"/>
  <c r="P54" i="10" s="1"/>
  <c r="O32" i="4"/>
  <c r="O45" i="10"/>
  <c r="P45" i="10" s="1"/>
  <c r="N39" i="4"/>
  <c r="Q39" i="4" s="1"/>
  <c r="N47" i="10"/>
  <c r="Q47" i="10" s="1"/>
  <c r="N48" i="10"/>
  <c r="Q48" i="10" s="1"/>
  <c r="O40" i="4"/>
  <c r="N35" i="4"/>
  <c r="Q35" i="4" s="1"/>
  <c r="N38" i="4"/>
  <c r="Q38" i="4" s="1"/>
  <c r="O38" i="4"/>
  <c r="N49" i="10"/>
  <c r="Q49" i="10" s="1"/>
  <c r="O51" i="10"/>
  <c r="P51" i="10" s="1"/>
  <c r="O33" i="10"/>
  <c r="P33" i="10" s="1"/>
  <c r="I34" i="10"/>
  <c r="J34" i="10" s="1"/>
  <c r="N25" i="10"/>
  <c r="Q25" i="10" s="1"/>
  <c r="O19" i="10"/>
  <c r="P19" i="10" s="1"/>
  <c r="N20" i="4"/>
  <c r="Q20" i="4" s="1"/>
  <c r="N13" i="4"/>
  <c r="Q13" i="4" s="1"/>
  <c r="N9" i="4"/>
  <c r="Q9" i="4" s="1"/>
  <c r="N14" i="10"/>
  <c r="Q14" i="10" s="1"/>
  <c r="O18" i="10"/>
  <c r="P18" i="10" s="1"/>
  <c r="O27" i="10"/>
  <c r="P27" i="10" s="1"/>
  <c r="N12" i="4"/>
  <c r="Q12" i="4" s="1"/>
  <c r="O25" i="10"/>
  <c r="P25" i="10" s="1"/>
  <c r="N15" i="10"/>
  <c r="Q15" i="10" s="1"/>
  <c r="O16" i="4"/>
  <c r="O20" i="4"/>
  <c r="O16" i="10"/>
  <c r="P16" i="10" s="1"/>
  <c r="N10" i="4"/>
  <c r="Q10" i="4" s="1"/>
  <c r="N17" i="10"/>
  <c r="Q17" i="10" s="1"/>
  <c r="O22" i="10"/>
  <c r="P22" i="10" s="1"/>
  <c r="O17" i="4"/>
  <c r="O12" i="4"/>
  <c r="N13" i="10"/>
  <c r="Q13" i="10" s="1"/>
  <c r="O11" i="4"/>
  <c r="N22" i="10"/>
  <c r="Q22" i="10" s="1"/>
  <c r="O20" i="10"/>
  <c r="P20" i="10" s="1"/>
  <c r="O15" i="4"/>
  <c r="N20" i="10"/>
  <c r="Q20" i="10" s="1"/>
  <c r="N11" i="4"/>
  <c r="Q11" i="4" s="1"/>
  <c r="O21" i="10"/>
  <c r="P21" i="10" s="1"/>
  <c r="N24" i="10"/>
  <c r="Q24" i="10" s="1"/>
  <c r="N19" i="4"/>
  <c r="Q19" i="4" s="1"/>
  <c r="N21" i="10"/>
  <c r="Q21" i="10" s="1"/>
  <c r="N26" i="10"/>
  <c r="Q26" i="10" s="1"/>
  <c r="N17" i="4"/>
  <c r="Q17" i="4" s="1"/>
  <c r="N19" i="10"/>
  <c r="Q19" i="10" s="1"/>
  <c r="N14" i="4"/>
  <c r="Q14" i="4" s="1"/>
  <c r="O24" i="10"/>
  <c r="P24" i="10" s="1"/>
  <c r="N15" i="4"/>
  <c r="Q15" i="4" s="1"/>
  <c r="O23" i="10"/>
  <c r="P23" i="10" s="1"/>
  <c r="N16" i="10"/>
  <c r="Q16" i="10" s="1"/>
  <c r="O14" i="10"/>
  <c r="P14" i="10" s="1"/>
  <c r="O26" i="10"/>
  <c r="P26" i="10" s="1"/>
  <c r="O10" i="4"/>
  <c r="O13" i="10"/>
  <c r="P13" i="10" s="1"/>
  <c r="N18" i="4"/>
  <c r="Q18" i="4" s="1"/>
  <c r="O15" i="10"/>
  <c r="P15" i="10" s="1"/>
  <c r="N27" i="10"/>
  <c r="Q27" i="10" s="1"/>
  <c r="O9" i="4"/>
  <c r="O17" i="10"/>
  <c r="P17" i="10" s="1"/>
  <c r="N18" i="10"/>
  <c r="Q18" i="10" s="1"/>
  <c r="N23" i="10"/>
  <c r="Q23" i="10" s="1"/>
  <c r="O18" i="4"/>
  <c r="O19" i="4"/>
  <c r="N16" i="4"/>
  <c r="Q16" i="4" s="1"/>
  <c r="O14" i="4"/>
  <c r="O13" i="4"/>
  <c r="B9" i="4"/>
  <c r="E9" i="4" s="1"/>
  <c r="B5" i="10"/>
  <c r="E5" i="10" s="1"/>
  <c r="N33" i="10"/>
  <c r="Q33" i="10" s="1"/>
  <c r="I5" i="4"/>
  <c r="C17" i="10"/>
  <c r="D17" i="10" s="1"/>
  <c r="B17" i="10"/>
  <c r="E17" i="10" s="1"/>
  <c r="C18" i="10"/>
  <c r="D18" i="10" s="1"/>
  <c r="B16" i="4"/>
  <c r="E16" i="4" s="1"/>
  <c r="B19" i="4"/>
  <c r="E19" i="4" s="1"/>
  <c r="C23" i="10"/>
  <c r="D23" i="10" s="1"/>
  <c r="B18" i="10"/>
  <c r="E18" i="10" s="1"/>
  <c r="C16" i="4"/>
  <c r="C17" i="4"/>
  <c r="C15" i="4"/>
  <c r="C19" i="4"/>
  <c r="B18" i="4"/>
  <c r="E18" i="4" s="1"/>
  <c r="B19" i="10"/>
  <c r="E19" i="10" s="1"/>
  <c r="B14" i="4"/>
  <c r="E14" i="4" s="1"/>
  <c r="B20" i="10"/>
  <c r="E20" i="10" s="1"/>
  <c r="C20" i="10"/>
  <c r="D20" i="10" s="1"/>
  <c r="C20" i="4"/>
  <c r="C19" i="10"/>
  <c r="D19" i="10" s="1"/>
  <c r="B22" i="10"/>
  <c r="E22" i="10" s="1"/>
  <c r="C14" i="4"/>
  <c r="B23" i="10"/>
  <c r="E23" i="10" s="1"/>
  <c r="C21" i="10"/>
  <c r="D21" i="10" s="1"/>
  <c r="C24" i="10"/>
  <c r="D24" i="10" s="1"/>
  <c r="B24" i="10"/>
  <c r="E24" i="10" s="1"/>
  <c r="C13" i="4"/>
  <c r="C18" i="4"/>
  <c r="B15" i="4"/>
  <c r="E15" i="4" s="1"/>
  <c r="B13" i="4"/>
  <c r="E13" i="4" s="1"/>
  <c r="B21" i="10"/>
  <c r="E21" i="10" s="1"/>
  <c r="C22" i="10"/>
  <c r="D22" i="10" s="1"/>
  <c r="B17" i="4"/>
  <c r="E17" i="4" s="1"/>
  <c r="B20" i="4"/>
  <c r="E20" i="4" s="1"/>
  <c r="C13" i="10"/>
  <c r="D13" i="10" s="1"/>
  <c r="N9" i="10"/>
  <c r="Q9" i="10" s="1"/>
  <c r="C32" i="10"/>
  <c r="D32" i="10" s="1"/>
  <c r="B8" i="10"/>
  <c r="E8" i="10" s="1"/>
  <c r="B5" i="4"/>
  <c r="E5" i="4" s="1"/>
  <c r="N25" i="4"/>
  <c r="Q25" i="4" s="1"/>
  <c r="I5" i="10"/>
  <c r="J5" i="10" s="1"/>
  <c r="C39" i="10"/>
  <c r="D39" i="10" s="1"/>
  <c r="B12" i="4"/>
  <c r="E12" i="4" s="1"/>
  <c r="O35" i="10"/>
  <c r="P35" i="10" s="1"/>
  <c r="H5" i="10"/>
  <c r="K5" i="10" s="1"/>
  <c r="C27" i="4"/>
  <c r="H37" i="10"/>
  <c r="K37" i="10" s="1"/>
  <c r="C11" i="4"/>
  <c r="B11" i="10"/>
  <c r="E11" i="10" s="1"/>
  <c r="O34" i="10"/>
  <c r="P34" i="10" s="1"/>
  <c r="N5" i="10"/>
  <c r="Q5" i="10" s="1"/>
  <c r="H38" i="10"/>
  <c r="K38" i="10" s="1"/>
  <c r="O37" i="10"/>
  <c r="P37" i="10" s="1"/>
  <c r="I10" i="10"/>
  <c r="J10" i="10" s="1"/>
  <c r="N7" i="10"/>
  <c r="Q7" i="10" s="1"/>
  <c r="C10" i="10"/>
  <c r="D10" i="10" s="1"/>
  <c r="N27" i="4"/>
  <c r="Q27" i="4" s="1"/>
  <c r="H12" i="10"/>
  <c r="K12" i="10" s="1"/>
  <c r="B10" i="4"/>
  <c r="E10" i="4" s="1"/>
  <c r="O39" i="10"/>
  <c r="P39" i="10" s="1"/>
  <c r="N39" i="10"/>
  <c r="Q39" i="10" s="1"/>
  <c r="H5" i="4"/>
  <c r="K5" i="4" s="1"/>
  <c r="H8" i="4"/>
  <c r="K8" i="4" s="1"/>
  <c r="O8" i="10"/>
  <c r="P8" i="10" s="1"/>
  <c r="N11" i="10"/>
  <c r="Q11" i="10" s="1"/>
  <c r="B35" i="10"/>
  <c r="E35" i="10" s="1"/>
  <c r="B32" i="10"/>
  <c r="E32" i="10" s="1"/>
  <c r="H34" i="10"/>
  <c r="K34" i="10" s="1"/>
  <c r="I28" i="4"/>
  <c r="H43" i="10"/>
  <c r="K43" i="10" s="1"/>
  <c r="H42" i="10"/>
  <c r="K42" i="10" s="1"/>
  <c r="I33" i="4"/>
  <c r="H32" i="4"/>
  <c r="K32" i="4" s="1"/>
  <c r="I50" i="10"/>
  <c r="J50" i="10" s="1"/>
  <c r="I48" i="10"/>
  <c r="J48" i="10" s="1"/>
  <c r="I54" i="10"/>
  <c r="J54" i="10" s="1"/>
  <c r="I46" i="10"/>
  <c r="J46" i="10" s="1"/>
  <c r="I42" i="10"/>
  <c r="J42" i="10" s="1"/>
  <c r="H34" i="4"/>
  <c r="K34" i="4" s="1"/>
  <c r="I37" i="4"/>
  <c r="I34" i="4"/>
  <c r="H40" i="4"/>
  <c r="K40" i="4" s="1"/>
  <c r="H51" i="10"/>
  <c r="K51" i="10" s="1"/>
  <c r="H49" i="10"/>
  <c r="K49" i="10" s="1"/>
  <c r="I53" i="10"/>
  <c r="J53" i="10" s="1"/>
  <c r="H35" i="4"/>
  <c r="K35" i="4" s="1"/>
  <c r="I36" i="4"/>
  <c r="H33" i="4"/>
  <c r="K33" i="4" s="1"/>
  <c r="I38" i="4"/>
  <c r="H46" i="10"/>
  <c r="K46" i="10" s="1"/>
  <c r="H53" i="10"/>
  <c r="K53" i="10" s="1"/>
  <c r="I29" i="4"/>
  <c r="I43" i="10"/>
  <c r="J43" i="10" s="1"/>
  <c r="H47" i="10"/>
  <c r="K47" i="10" s="1"/>
  <c r="I35" i="4"/>
  <c r="I39" i="4"/>
  <c r="H37" i="4"/>
  <c r="K37" i="4" s="1"/>
  <c r="H52" i="10"/>
  <c r="K52" i="10" s="1"/>
  <c r="H48" i="10"/>
  <c r="K48" i="10" s="1"/>
  <c r="I40" i="10"/>
  <c r="J40" i="10" s="1"/>
  <c r="I30" i="4"/>
  <c r="H38" i="4"/>
  <c r="K38" i="4" s="1"/>
  <c r="H45" i="10"/>
  <c r="K45" i="10" s="1"/>
  <c r="I31" i="4"/>
  <c r="I51" i="10"/>
  <c r="J51" i="10" s="1"/>
  <c r="I41" i="10"/>
  <c r="J41" i="10" s="1"/>
  <c r="I52" i="10"/>
  <c r="J52" i="10" s="1"/>
  <c r="H44" i="10"/>
  <c r="K44" i="10" s="1"/>
  <c r="H29" i="4"/>
  <c r="K29" i="4" s="1"/>
  <c r="I45" i="10"/>
  <c r="J45" i="10" s="1"/>
  <c r="I47" i="10"/>
  <c r="J47" i="10" s="1"/>
  <c r="H36" i="4"/>
  <c r="K36" i="4" s="1"/>
  <c r="I49" i="10"/>
  <c r="J49" i="10" s="1"/>
  <c r="H40" i="10"/>
  <c r="K40" i="10" s="1"/>
  <c r="I44" i="10"/>
  <c r="J44" i="10" s="1"/>
  <c r="I32" i="4"/>
  <c r="H31" i="4"/>
  <c r="K31" i="4" s="1"/>
  <c r="H41" i="10"/>
  <c r="K41" i="10" s="1"/>
  <c r="H50" i="10"/>
  <c r="K50" i="10" s="1"/>
  <c r="H30" i="4"/>
  <c r="K30" i="4" s="1"/>
  <c r="H39" i="4"/>
  <c r="K39" i="4" s="1"/>
  <c r="I40" i="4"/>
  <c r="H54" i="10"/>
  <c r="K54" i="10" s="1"/>
  <c r="N7" i="4"/>
  <c r="Q7" i="4" s="1"/>
  <c r="I32" i="10"/>
  <c r="J32" i="10" s="1"/>
  <c r="B11" i="4"/>
  <c r="E11" i="4" s="1"/>
  <c r="N32" i="10"/>
  <c r="Q32" i="10" s="1"/>
  <c r="I38" i="10"/>
  <c r="J38" i="10" s="1"/>
  <c r="C16" i="10"/>
  <c r="D16" i="10" s="1"/>
  <c r="C9" i="4"/>
  <c r="I27" i="4"/>
  <c r="C9" i="10"/>
  <c r="D9" i="10" s="1"/>
  <c r="B14" i="10"/>
  <c r="E14" i="10" s="1"/>
  <c r="C12" i="10"/>
  <c r="D12" i="10" s="1"/>
  <c r="O25" i="4"/>
  <c r="I11" i="10"/>
  <c r="J11" i="10" s="1"/>
  <c r="C38" i="10"/>
  <c r="D38" i="10" s="1"/>
  <c r="B7" i="10"/>
  <c r="E7" i="10" s="1"/>
  <c r="B13" i="10"/>
  <c r="E13" i="10" s="1"/>
  <c r="B34" i="10"/>
  <c r="E34" i="10" s="1"/>
  <c r="B27" i="4"/>
  <c r="E27" i="4" s="1"/>
  <c r="H25" i="4"/>
  <c r="K25" i="4" s="1"/>
  <c r="B9" i="10"/>
  <c r="E9" i="10" s="1"/>
  <c r="O28" i="4"/>
  <c r="I8" i="4"/>
  <c r="C34" i="10"/>
  <c r="D34" i="10" s="1"/>
  <c r="B8" i="4"/>
  <c r="E8" i="4" s="1"/>
  <c r="B7" i="4"/>
  <c r="E7" i="4" s="1"/>
  <c r="C8" i="4"/>
  <c r="N37" i="10"/>
  <c r="Q37" i="10" s="1"/>
  <c r="N26" i="4"/>
  <c r="Q26" i="4" s="1"/>
  <c r="H7" i="4"/>
  <c r="K7" i="4" s="1"/>
  <c r="I7" i="10"/>
  <c r="J7" i="10" s="1"/>
  <c r="N8" i="10"/>
  <c r="Q8" i="10" s="1"/>
  <c r="N5" i="4"/>
  <c r="Q5" i="4" s="1"/>
  <c r="B25" i="4"/>
  <c r="E25" i="4" s="1"/>
  <c r="B37" i="10"/>
  <c r="E37" i="10" s="1"/>
  <c r="H35" i="10"/>
  <c r="K35" i="10" s="1"/>
  <c r="N38" i="10"/>
  <c r="Q38" i="10" s="1"/>
  <c r="C5" i="10"/>
  <c r="D5" i="10" s="1"/>
  <c r="H27" i="4"/>
  <c r="K27" i="4" s="1"/>
  <c r="N28" i="4"/>
  <c r="Q28" i="4" s="1"/>
  <c r="B10" i="10"/>
  <c r="E10" i="10" s="1"/>
  <c r="H8" i="10"/>
  <c r="K8" i="10" s="1"/>
  <c r="I36" i="10"/>
  <c r="J36" i="10" s="1"/>
  <c r="O9" i="10"/>
  <c r="P9" i="10" s="1"/>
  <c r="C12" i="4"/>
  <c r="O10" i="10"/>
  <c r="P10" i="10" s="1"/>
  <c r="N8" i="4"/>
  <c r="Q8" i="4" s="1"/>
  <c r="I25" i="4"/>
  <c r="C8" i="10"/>
  <c r="D8" i="10" s="1"/>
  <c r="B16" i="10"/>
  <c r="E16" i="10" s="1"/>
  <c r="B15" i="10"/>
  <c r="E15" i="10" s="1"/>
  <c r="O27" i="4"/>
  <c r="O38" i="10"/>
  <c r="P38" i="10" s="1"/>
  <c r="H11" i="10"/>
  <c r="K11" i="10" s="1"/>
  <c r="O11" i="10"/>
  <c r="P11" i="10" s="1"/>
  <c r="B28" i="4"/>
  <c r="E28" i="4" s="1"/>
  <c r="B36" i="10"/>
  <c r="E36" i="10" s="1"/>
  <c r="H32" i="10"/>
  <c r="K32" i="10" s="1"/>
  <c r="H36" i="10"/>
  <c r="K36" i="10" s="1"/>
  <c r="C10" i="4"/>
  <c r="C44" i="10"/>
  <c r="D44" i="10" s="1"/>
  <c r="B30" i="4"/>
  <c r="E30" i="4" s="1"/>
  <c r="B36" i="4"/>
  <c r="E36" i="4" s="1"/>
  <c r="B38" i="4"/>
  <c r="E38" i="4" s="1"/>
  <c r="B54" i="10"/>
  <c r="E54" i="10" s="1"/>
  <c r="C54" i="10"/>
  <c r="D54" i="10" s="1"/>
  <c r="C50" i="10"/>
  <c r="D50" i="10" s="1"/>
  <c r="B45" i="10"/>
  <c r="E45" i="10" s="1"/>
  <c r="C40" i="10"/>
  <c r="D40" i="10" s="1"/>
  <c r="C41" i="10"/>
  <c r="D41" i="10" s="1"/>
  <c r="C49" i="10"/>
  <c r="D49" i="10" s="1"/>
  <c r="C40" i="4"/>
  <c r="C29" i="4"/>
  <c r="B49" i="10"/>
  <c r="E49" i="10" s="1"/>
  <c r="C38" i="4"/>
  <c r="B34" i="4"/>
  <c r="E34" i="4" s="1"/>
  <c r="B53" i="10"/>
  <c r="E53" i="10" s="1"/>
  <c r="C52" i="10"/>
  <c r="D52" i="10" s="1"/>
  <c r="C36" i="4"/>
  <c r="C34" i="4"/>
  <c r="B46" i="10"/>
  <c r="E46" i="10" s="1"/>
  <c r="C32" i="4"/>
  <c r="B52" i="10"/>
  <c r="E52" i="10" s="1"/>
  <c r="C35" i="4"/>
  <c r="C51" i="10"/>
  <c r="D51" i="10" s="1"/>
  <c r="C45" i="10"/>
  <c r="D45" i="10" s="1"/>
  <c r="B41" i="10"/>
  <c r="E41" i="10" s="1"/>
  <c r="B40" i="4"/>
  <c r="E40" i="4" s="1"/>
  <c r="B51" i="10"/>
  <c r="E51" i="10" s="1"/>
  <c r="B31" i="4"/>
  <c r="E31" i="4" s="1"/>
  <c r="B48" i="10"/>
  <c r="E48" i="10" s="1"/>
  <c r="B47" i="10"/>
  <c r="E47" i="10" s="1"/>
  <c r="B42" i="10"/>
  <c r="E42" i="10" s="1"/>
  <c r="C31" i="4"/>
  <c r="C47" i="10"/>
  <c r="D47" i="10" s="1"/>
  <c r="B33" i="4"/>
  <c r="E33" i="4" s="1"/>
  <c r="C43" i="10"/>
  <c r="D43" i="10" s="1"/>
  <c r="C48" i="10"/>
  <c r="D48" i="10" s="1"/>
  <c r="B50" i="10"/>
  <c r="E50" i="10" s="1"/>
  <c r="C37" i="4"/>
  <c r="C33" i="4"/>
  <c r="B39" i="4"/>
  <c r="E39" i="4" s="1"/>
  <c r="C46" i="10"/>
  <c r="D46" i="10" s="1"/>
  <c r="B29" i="4"/>
  <c r="E29" i="4" s="1"/>
  <c r="B43" i="10"/>
  <c r="E43" i="10" s="1"/>
  <c r="C39" i="4"/>
  <c r="C53" i="10"/>
  <c r="D53" i="10" s="1"/>
  <c r="B32" i="4"/>
  <c r="E32" i="4" s="1"/>
  <c r="B40" i="10"/>
  <c r="E40" i="10" s="1"/>
  <c r="B44" i="10"/>
  <c r="E44" i="10" s="1"/>
  <c r="C30" i="4"/>
  <c r="B37" i="4"/>
  <c r="E37" i="4" s="1"/>
  <c r="B35" i="4"/>
  <c r="E35" i="4" s="1"/>
  <c r="C42" i="10"/>
  <c r="D42" i="10" s="1"/>
  <c r="B12" i="10"/>
  <c r="E12" i="10" s="1"/>
  <c r="H24" i="10"/>
  <c r="K24" i="10" s="1"/>
  <c r="H18" i="10"/>
  <c r="K18" i="10" s="1"/>
  <c r="H11" i="4"/>
  <c r="K11" i="4" s="1"/>
  <c r="I15" i="4"/>
  <c r="H10" i="4"/>
  <c r="K10" i="4" s="1"/>
  <c r="I13" i="10"/>
  <c r="J13" i="10" s="1"/>
  <c r="H23" i="10"/>
  <c r="K23" i="10" s="1"/>
  <c r="I16" i="10"/>
  <c r="J16" i="10" s="1"/>
  <c r="I17" i="10"/>
  <c r="J17" i="10" s="1"/>
  <c r="I15" i="10"/>
  <c r="J15" i="10" s="1"/>
  <c r="I18" i="4"/>
  <c r="I10" i="4"/>
  <c r="I19" i="4"/>
  <c r="H17" i="10"/>
  <c r="K17" i="10" s="1"/>
  <c r="H13" i="10"/>
  <c r="K13" i="10" s="1"/>
  <c r="I27" i="10"/>
  <c r="J27" i="10" s="1"/>
  <c r="H17" i="4"/>
  <c r="K17" i="4" s="1"/>
  <c r="H19" i="4"/>
  <c r="K19" i="4" s="1"/>
  <c r="I9" i="4"/>
  <c r="I25" i="10"/>
  <c r="J25" i="10" s="1"/>
  <c r="H25" i="10"/>
  <c r="K25" i="10" s="1"/>
  <c r="I20" i="10"/>
  <c r="J20" i="10" s="1"/>
  <c r="H19" i="10"/>
  <c r="K19" i="10" s="1"/>
  <c r="I11" i="4"/>
  <c r="I18" i="10"/>
  <c r="J18" i="10" s="1"/>
  <c r="H9" i="4"/>
  <c r="K9" i="4" s="1"/>
  <c r="H16" i="10"/>
  <c r="K16" i="10" s="1"/>
  <c r="I26" i="10"/>
  <c r="J26" i="10" s="1"/>
  <c r="H14" i="10"/>
  <c r="K14" i="10" s="1"/>
  <c r="I19" i="10"/>
  <c r="J19" i="10" s="1"/>
  <c r="H18" i="4"/>
  <c r="K18" i="4" s="1"/>
  <c r="I12" i="4"/>
  <c r="I13" i="4"/>
  <c r="H15" i="4"/>
  <c r="K15" i="4" s="1"/>
  <c r="H20" i="10"/>
  <c r="K20" i="10" s="1"/>
  <c r="I22" i="10"/>
  <c r="J22" i="10" s="1"/>
  <c r="H21" i="10"/>
  <c r="K21" i="10" s="1"/>
  <c r="H15" i="10"/>
  <c r="K15" i="10" s="1"/>
  <c r="H14" i="4"/>
  <c r="K14" i="4" s="1"/>
  <c r="H27" i="10"/>
  <c r="K27" i="10" s="1"/>
  <c r="I14" i="10"/>
  <c r="J14" i="10" s="1"/>
  <c r="H16" i="4"/>
  <c r="K16" i="4" s="1"/>
  <c r="I16" i="4"/>
  <c r="I24" i="10"/>
  <c r="J24" i="10" s="1"/>
  <c r="I23" i="10"/>
  <c r="J23" i="10" s="1"/>
  <c r="I20" i="4"/>
  <c r="I17" i="4"/>
  <c r="H13" i="4"/>
  <c r="K13" i="4" s="1"/>
  <c r="I21" i="10"/>
  <c r="J21" i="10" s="1"/>
  <c r="H22" i="10"/>
  <c r="K22" i="10" s="1"/>
  <c r="I14" i="4"/>
  <c r="H20" i="4"/>
  <c r="K20" i="4" s="1"/>
  <c r="H26" i="10"/>
  <c r="K26" i="10" s="1"/>
  <c r="H12" i="4"/>
  <c r="K12" i="4" s="1"/>
  <c r="C7" i="4"/>
  <c r="C11" i="10"/>
  <c r="D11" i="10" s="1"/>
  <c r="N36" i="10"/>
  <c r="Q36" i="10" s="1"/>
  <c r="C37" i="10"/>
  <c r="D37" i="10" s="1"/>
  <c r="I39" i="10"/>
  <c r="J39" i="10" s="1"/>
  <c r="J6" i="10"/>
  <c r="D6" i="10"/>
  <c r="AJ83" i="1"/>
  <c r="P73" i="1"/>
  <c r="AC73" i="1" s="1"/>
  <c r="Q73" i="1"/>
  <c r="AD73" i="1" s="1"/>
  <c r="R73" i="1"/>
  <c r="AE73" i="1" s="1"/>
  <c r="S73" i="1"/>
  <c r="T73" i="1"/>
  <c r="U73" i="1"/>
  <c r="V73" i="1"/>
  <c r="W73" i="1"/>
  <c r="X73" i="1"/>
  <c r="Y73" i="1"/>
  <c r="Z73" i="1"/>
  <c r="AA73" i="1"/>
  <c r="AB73" i="1"/>
  <c r="P62" i="1" l="1"/>
  <c r="AC62" i="1" s="1"/>
  <c r="Q62" i="1"/>
  <c r="AD62" i="1" s="1"/>
  <c r="R62" i="1"/>
  <c r="AE62" i="1" s="1"/>
  <c r="S62" i="1"/>
  <c r="AF62" i="1" s="1"/>
  <c r="T62" i="1"/>
  <c r="AG62" i="1" s="1"/>
  <c r="U62" i="1"/>
  <c r="AH62" i="1" s="1"/>
  <c r="V62" i="1"/>
  <c r="AI62" i="1" s="1"/>
  <c r="W62" i="1"/>
  <c r="AJ62" i="1" s="1"/>
  <c r="X62" i="1"/>
  <c r="Y62" i="1"/>
  <c r="Z62" i="1"/>
  <c r="AA62" i="1"/>
  <c r="AB62" i="1"/>
  <c r="P44" i="1"/>
  <c r="Q44" i="1"/>
  <c r="R44" i="1"/>
  <c r="AE44" i="1" s="1"/>
  <c r="S44" i="1"/>
  <c r="T44" i="1"/>
  <c r="U44" i="1"/>
  <c r="V44" i="1"/>
  <c r="W44" i="1"/>
  <c r="X44" i="1"/>
  <c r="Y44" i="1"/>
  <c r="Z44" i="1"/>
  <c r="AA44" i="1"/>
  <c r="AB44" i="1"/>
  <c r="P57" i="1"/>
  <c r="AC57" i="1" s="1"/>
  <c r="Q57" i="1"/>
  <c r="AD57" i="1" s="1"/>
  <c r="R57" i="1"/>
  <c r="AE57" i="1" s="1"/>
  <c r="S57" i="1"/>
  <c r="AF57" i="1" s="1"/>
  <c r="T57" i="1"/>
  <c r="U57" i="1"/>
  <c r="AH57" i="1" s="1"/>
  <c r="V57" i="1"/>
  <c r="W57" i="1"/>
  <c r="X57" i="1"/>
  <c r="Y57" i="1"/>
  <c r="Z57" i="1"/>
  <c r="AA57" i="1"/>
  <c r="AB57" i="1"/>
  <c r="AH44" i="1" l="1"/>
  <c r="AG44" i="1"/>
  <c r="AF44" i="1"/>
  <c r="AJ44" i="1"/>
  <c r="AI44" i="1"/>
  <c r="AN44" i="1"/>
  <c r="AC44" i="1"/>
  <c r="AM44" i="1"/>
  <c r="AL44" i="1"/>
  <c r="AK44" i="1"/>
  <c r="AO44" i="1"/>
  <c r="M2" i="4" l="1"/>
  <c r="Z29" i="6" l="1"/>
  <c r="Z2" i="6"/>
  <c r="S61" i="1"/>
  <c r="T61" i="1"/>
  <c r="AG74" i="1" s="1"/>
  <c r="U61" i="1"/>
  <c r="V61" i="1"/>
  <c r="AI74" i="1" s="1"/>
  <c r="W61" i="1"/>
  <c r="AJ74" i="1" s="1"/>
  <c r="M104" i="5"/>
  <c r="M70" i="5"/>
  <c r="P61" i="1"/>
  <c r="Q61" i="1"/>
  <c r="R61" i="1"/>
  <c r="AE61" i="1" s="1"/>
  <c r="X61" i="1"/>
  <c r="Y61" i="1"/>
  <c r="Z61" i="1"/>
  <c r="AA61" i="1"/>
  <c r="AB61" i="1"/>
  <c r="M36" i="5"/>
  <c r="M2" i="5"/>
  <c r="AD61" i="1" l="1"/>
  <c r="AO86" i="1"/>
  <c r="AO75" i="1"/>
  <c r="AH85" i="1"/>
  <c r="AH74" i="1"/>
  <c r="AN77" i="1"/>
  <c r="AN75" i="1"/>
  <c r="AM86" i="1"/>
  <c r="AM75" i="1"/>
  <c r="AF85" i="1"/>
  <c r="AF74" i="1"/>
  <c r="AL77" i="1"/>
  <c r="AL75" i="1"/>
  <c r="AK86" i="1"/>
  <c r="AK75" i="1"/>
  <c r="AJ77" i="1"/>
  <c r="AJ85" i="1"/>
  <c r="AI58" i="1"/>
  <c r="AI85" i="1"/>
  <c r="AG58" i="1"/>
  <c r="AG85" i="1"/>
  <c r="AM67" i="1"/>
  <c r="AK67" i="1"/>
  <c r="AO67" i="1"/>
  <c r="AO77" i="1"/>
  <c r="AN45" i="1"/>
  <c r="AN67" i="1"/>
  <c r="AL45" i="1"/>
  <c r="AL67" i="1"/>
  <c r="C81" i="10"/>
  <c r="D81" i="10" s="1"/>
  <c r="B81" i="10"/>
  <c r="E81" i="10" s="1"/>
  <c r="B79" i="10"/>
  <c r="E79" i="10" s="1"/>
  <c r="B80" i="10"/>
  <c r="E80" i="10" s="1"/>
  <c r="C79" i="10"/>
  <c r="D79" i="10" s="1"/>
  <c r="C80" i="10"/>
  <c r="D80" i="10" s="1"/>
  <c r="AO84" i="1"/>
  <c r="AN84" i="1"/>
  <c r="AL84" i="1"/>
  <c r="AM84" i="1"/>
  <c r="AK84" i="1"/>
  <c r="AJ58" i="1"/>
  <c r="AH58" i="1"/>
  <c r="AF58" i="1"/>
  <c r="AI81" i="1"/>
  <c r="AG81" i="1"/>
  <c r="AC61" i="1"/>
  <c r="AM63" i="1"/>
  <c r="AM45" i="1"/>
  <c r="AO63" i="1"/>
  <c r="AO45" i="1"/>
  <c r="AK63" i="1"/>
  <c r="AK45" i="1"/>
  <c r="AN61" i="1"/>
  <c r="AN63" i="1"/>
  <c r="AL61" i="1"/>
  <c r="AL63" i="1"/>
  <c r="AH81" i="1"/>
  <c r="AF81" i="1"/>
  <c r="AJ81" i="1"/>
  <c r="AJ87" i="1"/>
  <c r="AH87" i="1"/>
  <c r="AI87" i="1"/>
  <c r="AO82" i="1"/>
  <c r="AO79" i="1"/>
  <c r="AG87" i="1"/>
  <c r="AM61" i="1"/>
  <c r="AM79" i="1"/>
  <c r="AF77" i="1"/>
  <c r="AK61" i="1"/>
  <c r="AK79" i="1"/>
  <c r="AH77" i="1"/>
  <c r="AI77" i="1"/>
  <c r="AK82" i="1"/>
  <c r="AL82" i="1"/>
  <c r="AM82" i="1"/>
  <c r="AN82" i="1"/>
  <c r="AJ76" i="1"/>
  <c r="AG76" i="1"/>
  <c r="AO61" i="1"/>
  <c r="AJ61" i="1"/>
  <c r="AI61" i="1"/>
  <c r="AF61" i="1"/>
  <c r="AF87" i="1"/>
  <c r="AH61" i="1"/>
  <c r="AG61" i="1"/>
  <c r="AO72" i="1"/>
  <c r="AO58" i="1"/>
  <c r="AN72" i="1"/>
  <c r="AN58" i="1"/>
  <c r="AM72" i="1"/>
  <c r="AM58" i="1"/>
  <c r="AL72" i="1"/>
  <c r="AL58" i="1"/>
  <c r="AK72" i="1"/>
  <c r="AK58" i="1"/>
  <c r="AJ64" i="1"/>
  <c r="AF64" i="1"/>
  <c r="AG64" i="1"/>
  <c r="AH64" i="1"/>
  <c r="AI64" i="1"/>
  <c r="AN71" i="1"/>
  <c r="AL52" i="1"/>
  <c r="AL71" i="1"/>
  <c r="AO71" i="1"/>
  <c r="AM47" i="1"/>
  <c r="AM71" i="1"/>
  <c r="AK71" i="1"/>
  <c r="AJ79" i="1"/>
  <c r="AH79" i="1"/>
  <c r="AO69" i="1"/>
  <c r="AO47" i="1"/>
  <c r="AG46" i="1"/>
  <c r="AN47" i="1"/>
  <c r="AK47" i="1"/>
  <c r="AL47" i="1"/>
  <c r="AH46" i="1"/>
  <c r="AF52" i="1"/>
  <c r="AF46" i="1"/>
  <c r="AI46" i="1"/>
  <c r="AJ46" i="1"/>
  <c r="AN69" i="1"/>
  <c r="AM69" i="1"/>
  <c r="AK69" i="1"/>
  <c r="AL69" i="1"/>
  <c r="AL53" i="1"/>
  <c r="AK53" i="1"/>
  <c r="AG52" i="1"/>
  <c r="AO52" i="1"/>
  <c r="AO53" i="1"/>
  <c r="AM53" i="1"/>
  <c r="AN53" i="1"/>
  <c r="AH52" i="1"/>
  <c r="AI52" i="1"/>
  <c r="AJ52" i="1"/>
  <c r="AM52" i="1"/>
  <c r="AK52" i="1"/>
  <c r="AN52" i="1"/>
  <c r="AL68" i="1"/>
  <c r="AL76" i="1"/>
  <c r="AO64" i="1"/>
  <c r="AO76" i="1"/>
  <c r="AF79" i="1"/>
  <c r="AN68" i="1"/>
  <c r="AM68" i="1"/>
  <c r="AO68" i="1"/>
  <c r="AK68" i="1"/>
  <c r="AM64" i="1"/>
  <c r="AN64" i="1"/>
  <c r="AK64" i="1"/>
  <c r="AL64" i="1"/>
  <c r="AJ57" i="1"/>
  <c r="AM49" i="1"/>
  <c r="AH49" i="1"/>
  <c r="AG49" i="1"/>
  <c r="AK50" i="1"/>
  <c r="AM50" i="1"/>
  <c r="AO50" i="1"/>
  <c r="AL50" i="1"/>
  <c r="AN50" i="1"/>
  <c r="AI49" i="1"/>
  <c r="AJ49" i="1"/>
  <c r="AF49" i="1"/>
  <c r="AL49" i="1"/>
  <c r="AK49" i="1"/>
  <c r="AO49" i="1"/>
  <c r="AN49" i="1"/>
  <c r="AI57" i="1"/>
  <c r="AG57" i="1"/>
  <c r="AJ73" i="1"/>
  <c r="AH73" i="1"/>
  <c r="AO73" i="1"/>
  <c r="AL73" i="1"/>
  <c r="AN73" i="1"/>
  <c r="AK73" i="1"/>
  <c r="AI73" i="1"/>
  <c r="AM73" i="1"/>
  <c r="AG73" i="1"/>
  <c r="AF73" i="1"/>
  <c r="AK57" i="1"/>
  <c r="AM57" i="1"/>
  <c r="AO62" i="1"/>
  <c r="AN62" i="1"/>
  <c r="AM62" i="1"/>
  <c r="AL62" i="1"/>
  <c r="AK62" i="1"/>
  <c r="AD44" i="1"/>
  <c r="AN57" i="1"/>
  <c r="AL57" i="1"/>
  <c r="AO57" i="1"/>
  <c r="B52" i="6"/>
  <c r="D52" i="6" s="1"/>
  <c r="B98" i="5"/>
  <c r="E98" i="5" s="1"/>
  <c r="B53" i="6"/>
  <c r="D53" i="6" s="1"/>
  <c r="C52" i="6"/>
  <c r="C98" i="5"/>
  <c r="D98" i="5" s="1"/>
  <c r="C53" i="6"/>
  <c r="B54" i="6"/>
  <c r="D54" i="6" s="1"/>
  <c r="C54" i="6"/>
  <c r="M2" i="2"/>
  <c r="D46" i="4"/>
  <c r="N73" i="5" l="1"/>
  <c r="Q73" i="5" s="1"/>
  <c r="O73" i="5"/>
  <c r="P73" i="5" s="1"/>
  <c r="I97" i="10"/>
  <c r="J97" i="10" s="1"/>
  <c r="H96" i="10"/>
  <c r="K96" i="10" s="1"/>
  <c r="O69" i="10"/>
  <c r="P69" i="10" s="1"/>
  <c r="I96" i="10"/>
  <c r="J96" i="10" s="1"/>
  <c r="N69" i="10"/>
  <c r="Q69" i="10" s="1"/>
  <c r="N76" i="10"/>
  <c r="Q76" i="10" s="1"/>
  <c r="H103" i="10"/>
  <c r="K103" i="10" s="1"/>
  <c r="I101" i="10"/>
  <c r="J101" i="10" s="1"/>
  <c r="N79" i="10"/>
  <c r="Q79" i="10" s="1"/>
  <c r="H94" i="10"/>
  <c r="K94" i="10" s="1"/>
  <c r="N68" i="10"/>
  <c r="Q68" i="10" s="1"/>
  <c r="H106" i="10"/>
  <c r="K106" i="10" s="1"/>
  <c r="H86" i="10"/>
  <c r="K86" i="10" s="1"/>
  <c r="H90" i="10"/>
  <c r="K90" i="10" s="1"/>
  <c r="I87" i="10"/>
  <c r="J87" i="10" s="1"/>
  <c r="H88" i="10"/>
  <c r="K88" i="10" s="1"/>
  <c r="I90" i="10"/>
  <c r="J90" i="10" s="1"/>
  <c r="I86" i="10"/>
  <c r="J86" i="10" s="1"/>
  <c r="I89" i="10"/>
  <c r="J89" i="10" s="1"/>
  <c r="H92" i="10"/>
  <c r="K92" i="10" s="1"/>
  <c r="H89" i="10"/>
  <c r="K89" i="10" s="1"/>
  <c r="H93" i="10"/>
  <c r="K93" i="10" s="1"/>
  <c r="I88" i="10"/>
  <c r="J88" i="10" s="1"/>
  <c r="I91" i="10"/>
  <c r="J91" i="10" s="1"/>
  <c r="I93" i="10"/>
  <c r="J93" i="10" s="1"/>
  <c r="H91" i="10"/>
  <c r="K91" i="10" s="1"/>
  <c r="H87" i="10"/>
  <c r="K87" i="10" s="1"/>
  <c r="I92" i="10"/>
  <c r="J92" i="10" s="1"/>
  <c r="H98" i="10"/>
  <c r="K98" i="10" s="1"/>
  <c r="I66" i="10"/>
  <c r="J66" i="10" s="1"/>
  <c r="I60" i="10"/>
  <c r="J60" i="10" s="1"/>
  <c r="H65" i="10"/>
  <c r="K65" i="10" s="1"/>
  <c r="H63" i="10"/>
  <c r="K63" i="10" s="1"/>
  <c r="H61" i="10"/>
  <c r="K61" i="10" s="1"/>
  <c r="I64" i="10"/>
  <c r="J64" i="10" s="1"/>
  <c r="I62" i="10"/>
  <c r="J62" i="10" s="1"/>
  <c r="I65" i="10"/>
  <c r="J65" i="10" s="1"/>
  <c r="H59" i="10"/>
  <c r="K59" i="10" s="1"/>
  <c r="I59" i="10"/>
  <c r="J59" i="10" s="1"/>
  <c r="I63" i="10"/>
  <c r="J63" i="10" s="1"/>
  <c r="I61" i="10"/>
  <c r="J61" i="10" s="1"/>
  <c r="H66" i="10"/>
  <c r="K66" i="10" s="1"/>
  <c r="H64" i="10"/>
  <c r="K64" i="10" s="1"/>
  <c r="H60" i="10"/>
  <c r="K60" i="10" s="1"/>
  <c r="H62" i="10"/>
  <c r="K62" i="10" s="1"/>
  <c r="N80" i="10"/>
  <c r="Q80" i="10" s="1"/>
  <c r="H101" i="10"/>
  <c r="K101" i="10" s="1"/>
  <c r="B71" i="10"/>
  <c r="E71" i="10" s="1"/>
  <c r="C71" i="10"/>
  <c r="D71" i="10" s="1"/>
  <c r="I74" i="10"/>
  <c r="J74" i="10" s="1"/>
  <c r="H80" i="10"/>
  <c r="K80" i="10" s="1"/>
  <c r="H73" i="10"/>
  <c r="K73" i="10" s="1"/>
  <c r="H75" i="10"/>
  <c r="K75" i="10" s="1"/>
  <c r="I71" i="10"/>
  <c r="J71" i="10" s="1"/>
  <c r="H68" i="10"/>
  <c r="K68" i="10" s="1"/>
  <c r="H81" i="10"/>
  <c r="K81" i="10" s="1"/>
  <c r="H71" i="10"/>
  <c r="K71" i="10" s="1"/>
  <c r="H72" i="10"/>
  <c r="K72" i="10" s="1"/>
  <c r="I67" i="10"/>
  <c r="J67" i="10" s="1"/>
  <c r="H76" i="10"/>
  <c r="K76" i="10" s="1"/>
  <c r="I70" i="10"/>
  <c r="J70" i="10" s="1"/>
  <c r="I72" i="10"/>
  <c r="J72" i="10" s="1"/>
  <c r="I68" i="10"/>
  <c r="J68" i="10" s="1"/>
  <c r="H70" i="10"/>
  <c r="K70" i="10" s="1"/>
  <c r="H67" i="10"/>
  <c r="K67" i="10" s="1"/>
  <c r="I78" i="10"/>
  <c r="J78" i="10" s="1"/>
  <c r="H74" i="10"/>
  <c r="K74" i="10" s="1"/>
  <c r="H78" i="10"/>
  <c r="K78" i="10" s="1"/>
  <c r="I80" i="10"/>
  <c r="J80" i="10" s="1"/>
  <c r="I76" i="10"/>
  <c r="J76" i="10" s="1"/>
  <c r="I77" i="10"/>
  <c r="J77" i="10" s="1"/>
  <c r="H69" i="10"/>
  <c r="K69" i="10" s="1"/>
  <c r="I81" i="10"/>
  <c r="J81" i="10" s="1"/>
  <c r="H77" i="10"/>
  <c r="K77" i="10" s="1"/>
  <c r="H79" i="10"/>
  <c r="K79" i="10" s="1"/>
  <c r="I69" i="10"/>
  <c r="J69" i="10" s="1"/>
  <c r="I75" i="10"/>
  <c r="J75" i="10" s="1"/>
  <c r="I79" i="10"/>
  <c r="J79" i="10" s="1"/>
  <c r="I73" i="10"/>
  <c r="J73" i="10" s="1"/>
  <c r="O78" i="10"/>
  <c r="P78" i="10" s="1"/>
  <c r="N73" i="10"/>
  <c r="Q73" i="10" s="1"/>
  <c r="I100" i="10"/>
  <c r="J100" i="10" s="1"/>
  <c r="I105" i="10"/>
  <c r="J105" i="10" s="1"/>
  <c r="O80" i="10"/>
  <c r="P80" i="10" s="1"/>
  <c r="O70" i="10"/>
  <c r="P70" i="10" s="1"/>
  <c r="H105" i="10"/>
  <c r="K105" i="10" s="1"/>
  <c r="I95" i="10"/>
  <c r="J95" i="10" s="1"/>
  <c r="O74" i="10"/>
  <c r="P74" i="10" s="1"/>
  <c r="O63" i="10"/>
  <c r="P63" i="10" s="1"/>
  <c r="O65" i="10"/>
  <c r="P65" i="10" s="1"/>
  <c r="O64" i="10"/>
  <c r="P64" i="10" s="1"/>
  <c r="N61" i="10"/>
  <c r="Q61" i="10" s="1"/>
  <c r="O66" i="10"/>
  <c r="P66" i="10" s="1"/>
  <c r="N66" i="10"/>
  <c r="Q66" i="10" s="1"/>
  <c r="O60" i="10"/>
  <c r="P60" i="10" s="1"/>
  <c r="N65" i="10"/>
  <c r="Q65" i="10" s="1"/>
  <c r="N60" i="10"/>
  <c r="Q60" i="10" s="1"/>
  <c r="N63" i="10"/>
  <c r="Q63" i="10" s="1"/>
  <c r="N64" i="10"/>
  <c r="Q64" i="10" s="1"/>
  <c r="O59" i="10"/>
  <c r="P59" i="10" s="1"/>
  <c r="N59" i="10"/>
  <c r="Q59" i="10" s="1"/>
  <c r="O62" i="10"/>
  <c r="P62" i="10" s="1"/>
  <c r="N62" i="10"/>
  <c r="Q62" i="10" s="1"/>
  <c r="O61" i="10"/>
  <c r="P61" i="10" s="1"/>
  <c r="C106" i="10"/>
  <c r="D106" i="10" s="1"/>
  <c r="C101" i="10"/>
  <c r="D101" i="10" s="1"/>
  <c r="B104" i="10"/>
  <c r="E104" i="10" s="1"/>
  <c r="C97" i="10"/>
  <c r="D97" i="10" s="1"/>
  <c r="C94" i="10"/>
  <c r="D94" i="10" s="1"/>
  <c r="C102" i="10"/>
  <c r="D102" i="10" s="1"/>
  <c r="B107" i="10"/>
  <c r="E107" i="10" s="1"/>
  <c r="C96" i="10"/>
  <c r="D96" i="10" s="1"/>
  <c r="B101" i="10"/>
  <c r="E101" i="10" s="1"/>
  <c r="C103" i="10"/>
  <c r="D103" i="10" s="1"/>
  <c r="B105" i="10"/>
  <c r="E105" i="10" s="1"/>
  <c r="B95" i="10"/>
  <c r="E95" i="10" s="1"/>
  <c r="B97" i="10"/>
  <c r="E97" i="10" s="1"/>
  <c r="B99" i="10"/>
  <c r="E99" i="10" s="1"/>
  <c r="C107" i="10"/>
  <c r="D107" i="10" s="1"/>
  <c r="C100" i="10"/>
  <c r="D100" i="10" s="1"/>
  <c r="C95" i="10"/>
  <c r="D95" i="10" s="1"/>
  <c r="B98" i="10"/>
  <c r="E98" i="10" s="1"/>
  <c r="C108" i="10"/>
  <c r="D108" i="10" s="1"/>
  <c r="C105" i="10"/>
  <c r="D105" i="10" s="1"/>
  <c r="B106" i="10"/>
  <c r="E106" i="10" s="1"/>
  <c r="C99" i="10"/>
  <c r="D99" i="10" s="1"/>
  <c r="C104" i="10"/>
  <c r="D104" i="10" s="1"/>
  <c r="B108" i="10"/>
  <c r="E108" i="10" s="1"/>
  <c r="C98" i="10"/>
  <c r="D98" i="10" s="1"/>
  <c r="B100" i="10"/>
  <c r="E100" i="10" s="1"/>
  <c r="B102" i="10"/>
  <c r="E102" i="10" s="1"/>
  <c r="B103" i="10"/>
  <c r="E103" i="10" s="1"/>
  <c r="B94" i="10"/>
  <c r="E94" i="10" s="1"/>
  <c r="B96" i="10"/>
  <c r="E96" i="10" s="1"/>
  <c r="N71" i="10"/>
  <c r="Q71" i="10" s="1"/>
  <c r="O68" i="10"/>
  <c r="P68" i="10" s="1"/>
  <c r="I104" i="10"/>
  <c r="J104" i="10" s="1"/>
  <c r="I103" i="10"/>
  <c r="J103" i="10" s="1"/>
  <c r="N81" i="10"/>
  <c r="Q81" i="10" s="1"/>
  <c r="O77" i="10"/>
  <c r="P77" i="10" s="1"/>
  <c r="O72" i="10"/>
  <c r="P72" i="10" s="1"/>
  <c r="I108" i="10"/>
  <c r="J108" i="10" s="1"/>
  <c r="I98" i="10"/>
  <c r="J98" i="10" s="1"/>
  <c r="O71" i="10"/>
  <c r="P71" i="10" s="1"/>
  <c r="O75" i="10"/>
  <c r="P75" i="10" s="1"/>
  <c r="O79" i="10"/>
  <c r="P79" i="10" s="1"/>
  <c r="H102" i="10"/>
  <c r="K102" i="10" s="1"/>
  <c r="O81" i="10"/>
  <c r="P81" i="10" s="1"/>
  <c r="N75" i="10"/>
  <c r="Q75" i="10" s="1"/>
  <c r="H97" i="10"/>
  <c r="K97" i="10" s="1"/>
  <c r="H99" i="10"/>
  <c r="K99" i="10" s="1"/>
  <c r="I99" i="10"/>
  <c r="J99" i="10" s="1"/>
  <c r="H107" i="10"/>
  <c r="K107" i="10" s="1"/>
  <c r="N78" i="10"/>
  <c r="Q78" i="10" s="1"/>
  <c r="I94" i="10"/>
  <c r="J94" i="10" s="1"/>
  <c r="N77" i="10"/>
  <c r="Q77" i="10" s="1"/>
  <c r="H104" i="10"/>
  <c r="K104" i="10" s="1"/>
  <c r="H100" i="10"/>
  <c r="K100" i="10" s="1"/>
  <c r="C93" i="10"/>
  <c r="D93" i="10" s="1"/>
  <c r="B87" i="10"/>
  <c r="E87" i="10" s="1"/>
  <c r="B88" i="10"/>
  <c r="E88" i="10" s="1"/>
  <c r="C92" i="10"/>
  <c r="D92" i="10" s="1"/>
  <c r="B89" i="10"/>
  <c r="E89" i="10" s="1"/>
  <c r="B91" i="10"/>
  <c r="E91" i="10" s="1"/>
  <c r="B92" i="10"/>
  <c r="E92" i="10" s="1"/>
  <c r="C87" i="10"/>
  <c r="D87" i="10" s="1"/>
  <c r="B90" i="10"/>
  <c r="E90" i="10" s="1"/>
  <c r="C91" i="10"/>
  <c r="D91" i="10" s="1"/>
  <c r="B93" i="10"/>
  <c r="E93" i="10" s="1"/>
  <c r="C88" i="10"/>
  <c r="D88" i="10" s="1"/>
  <c r="B86" i="10"/>
  <c r="E86" i="10" s="1"/>
  <c r="C86" i="10"/>
  <c r="D86" i="10" s="1"/>
  <c r="C89" i="10"/>
  <c r="D89" i="10" s="1"/>
  <c r="C90" i="10"/>
  <c r="D90" i="10" s="1"/>
  <c r="I106" i="10"/>
  <c r="J106" i="10" s="1"/>
  <c r="O105" i="10"/>
  <c r="P105" i="10" s="1"/>
  <c r="N106" i="10"/>
  <c r="Q106" i="10" s="1"/>
  <c r="O96" i="10"/>
  <c r="P96" i="10" s="1"/>
  <c r="N105" i="10"/>
  <c r="Q105" i="10" s="1"/>
  <c r="O101" i="10"/>
  <c r="P101" i="10" s="1"/>
  <c r="N94" i="10"/>
  <c r="Q94" i="10" s="1"/>
  <c r="N99" i="10"/>
  <c r="Q99" i="10" s="1"/>
  <c r="O95" i="10"/>
  <c r="P95" i="10" s="1"/>
  <c r="N97" i="10"/>
  <c r="Q97" i="10" s="1"/>
  <c r="O108" i="10"/>
  <c r="P108" i="10" s="1"/>
  <c r="N104" i="10"/>
  <c r="Q104" i="10" s="1"/>
  <c r="O106" i="10"/>
  <c r="P106" i="10" s="1"/>
  <c r="N98" i="10"/>
  <c r="Q98" i="10" s="1"/>
  <c r="O94" i="10"/>
  <c r="P94" i="10" s="1"/>
  <c r="O99" i="10"/>
  <c r="P99" i="10" s="1"/>
  <c r="O103" i="10"/>
  <c r="P103" i="10" s="1"/>
  <c r="O107" i="10"/>
  <c r="P107" i="10" s="1"/>
  <c r="N100" i="10"/>
  <c r="Q100" i="10" s="1"/>
  <c r="O104" i="10"/>
  <c r="P104" i="10" s="1"/>
  <c r="O97" i="10"/>
  <c r="P97" i="10" s="1"/>
  <c r="O102" i="10"/>
  <c r="P102" i="10" s="1"/>
  <c r="O98" i="10"/>
  <c r="P98" i="10" s="1"/>
  <c r="N103" i="10"/>
  <c r="Q103" i="10" s="1"/>
  <c r="N96" i="10"/>
  <c r="Q96" i="10" s="1"/>
  <c r="N107" i="10"/>
  <c r="Q107" i="10" s="1"/>
  <c r="N102" i="10"/>
  <c r="Q102" i="10" s="1"/>
  <c r="N108" i="10"/>
  <c r="Q108" i="10" s="1"/>
  <c r="N101" i="10"/>
  <c r="Q101" i="10" s="1"/>
  <c r="O100" i="10"/>
  <c r="P100" i="10" s="1"/>
  <c r="N95" i="10"/>
  <c r="Q95" i="10" s="1"/>
  <c r="N74" i="10"/>
  <c r="Q74" i="10" s="1"/>
  <c r="O73" i="10"/>
  <c r="P73" i="10" s="1"/>
  <c r="H108" i="10"/>
  <c r="K108" i="10" s="1"/>
  <c r="O67" i="10"/>
  <c r="P67" i="10" s="1"/>
  <c r="N67" i="10"/>
  <c r="Q67" i="10" s="1"/>
  <c r="I107" i="10"/>
  <c r="J107" i="10" s="1"/>
  <c r="N72" i="10"/>
  <c r="Q72" i="10" s="1"/>
  <c r="I102" i="10"/>
  <c r="J102" i="10" s="1"/>
  <c r="O93" i="10"/>
  <c r="P93" i="10" s="1"/>
  <c r="O90" i="10"/>
  <c r="P90" i="10" s="1"/>
  <c r="O88" i="10"/>
  <c r="P88" i="10" s="1"/>
  <c r="O89" i="10"/>
  <c r="P89" i="10" s="1"/>
  <c r="O91" i="10"/>
  <c r="P91" i="10" s="1"/>
  <c r="N92" i="10"/>
  <c r="Q92" i="10" s="1"/>
  <c r="N90" i="10"/>
  <c r="Q90" i="10" s="1"/>
  <c r="N89" i="10"/>
  <c r="Q89" i="10" s="1"/>
  <c r="O87" i="10"/>
  <c r="P87" i="10" s="1"/>
  <c r="N93" i="10"/>
  <c r="Q93" i="10" s="1"/>
  <c r="N87" i="10"/>
  <c r="Q87" i="10" s="1"/>
  <c r="N88" i="10"/>
  <c r="Q88" i="10" s="1"/>
  <c r="O86" i="10"/>
  <c r="P86" i="10" s="1"/>
  <c r="N91" i="10"/>
  <c r="Q91" i="10" s="1"/>
  <c r="O92" i="10"/>
  <c r="P92" i="10" s="1"/>
  <c r="N86" i="10"/>
  <c r="Q86" i="10" s="1"/>
  <c r="N70" i="10"/>
  <c r="Q70" i="10" s="1"/>
  <c r="O76" i="10"/>
  <c r="P76" i="10" s="1"/>
  <c r="H95" i="10"/>
  <c r="K95" i="10" s="1"/>
  <c r="E46" i="4"/>
  <c r="I48" i="4"/>
  <c r="I46" i="4"/>
  <c r="H48" i="4"/>
  <c r="K48" i="4" s="1"/>
  <c r="H46" i="4"/>
  <c r="K46" i="4" s="1"/>
  <c r="H47" i="4"/>
  <c r="K47" i="4" s="1"/>
  <c r="H45" i="4"/>
  <c r="K45" i="4" s="1"/>
  <c r="I45" i="4"/>
  <c r="I47" i="4"/>
  <c r="B55" i="4"/>
  <c r="E55" i="4" s="1"/>
  <c r="C55" i="4"/>
  <c r="O47" i="4"/>
  <c r="N48" i="4"/>
  <c r="Q48" i="4" s="1"/>
  <c r="O45" i="4"/>
  <c r="N45" i="4"/>
  <c r="Q45" i="4" s="1"/>
  <c r="O48" i="4"/>
  <c r="O46" i="4"/>
  <c r="N46" i="4"/>
  <c r="Q46" i="4" s="1"/>
  <c r="N47" i="4"/>
  <c r="Q47" i="4" s="1"/>
  <c r="N107" i="5"/>
  <c r="Q107" i="5" s="1"/>
  <c r="G41" i="6"/>
  <c r="I41" i="6" s="1"/>
  <c r="AA34" i="6"/>
  <c r="AC34" i="6" s="1"/>
  <c r="Q39" i="6"/>
  <c r="S39" i="6" s="1"/>
  <c r="R33" i="6"/>
  <c r="R40" i="6"/>
  <c r="AB38" i="6"/>
  <c r="M41" i="6"/>
  <c r="R38" i="6"/>
  <c r="AA45" i="6"/>
  <c r="AC45" i="6" s="1"/>
  <c r="W47" i="6"/>
  <c r="L53" i="6"/>
  <c r="N53" i="6" s="1"/>
  <c r="R50" i="6"/>
  <c r="H41" i="6"/>
  <c r="AA39" i="6"/>
  <c r="AC39" i="6" s="1"/>
  <c r="R47" i="6"/>
  <c r="L50" i="6"/>
  <c r="N50" i="6" s="1"/>
  <c r="R34" i="6"/>
  <c r="R45" i="6"/>
  <c r="AB33" i="6"/>
  <c r="R32" i="6"/>
  <c r="AB37" i="6"/>
  <c r="Q53" i="6"/>
  <c r="S53" i="6" s="1"/>
  <c r="H120" i="5"/>
  <c r="K120" i="5" s="1"/>
  <c r="W40" i="6"/>
  <c r="C120" i="5"/>
  <c r="D120" i="5" s="1"/>
  <c r="C26" i="6"/>
  <c r="B27" i="6"/>
  <c r="D27" i="6" s="1"/>
  <c r="V34" i="6"/>
  <c r="X34" i="6" s="1"/>
  <c r="W39" i="6"/>
  <c r="W33" i="6"/>
  <c r="H45" i="6"/>
  <c r="Q41" i="6"/>
  <c r="S41" i="6" s="1"/>
  <c r="W42" i="6"/>
  <c r="G54" i="6"/>
  <c r="I54" i="6" s="1"/>
  <c r="H107" i="5"/>
  <c r="K107" i="5" s="1"/>
  <c r="Q33" i="6"/>
  <c r="S33" i="6" s="1"/>
  <c r="W52" i="6"/>
  <c r="L41" i="6"/>
  <c r="N41" i="6" s="1"/>
  <c r="V49" i="6"/>
  <c r="X49" i="6" s="1"/>
  <c r="G50" i="6"/>
  <c r="I50" i="6" s="1"/>
  <c r="AA36" i="6"/>
  <c r="AC36" i="6" s="1"/>
  <c r="AA41" i="6"/>
  <c r="AC41" i="6" s="1"/>
  <c r="AA48" i="6"/>
  <c r="AC48" i="6" s="1"/>
  <c r="Q52" i="6"/>
  <c r="S52" i="6" s="1"/>
  <c r="AA50" i="6"/>
  <c r="AC50" i="6" s="1"/>
  <c r="I107" i="5"/>
  <c r="J107" i="5" s="1"/>
  <c r="V37" i="6"/>
  <c r="X37" i="6" s="1"/>
  <c r="AA53" i="6"/>
  <c r="AC53" i="6" s="1"/>
  <c r="V39" i="6"/>
  <c r="X39" i="6" s="1"/>
  <c r="W46" i="6"/>
  <c r="V32" i="6"/>
  <c r="X32" i="6" s="1"/>
  <c r="L47" i="6"/>
  <c r="N47" i="6" s="1"/>
  <c r="V53" i="6"/>
  <c r="X53" i="6" s="1"/>
  <c r="AB48" i="6"/>
  <c r="V50" i="6"/>
  <c r="X50" i="6" s="1"/>
  <c r="N120" i="5"/>
  <c r="Q120" i="5" s="1"/>
  <c r="V48" i="6"/>
  <c r="X48" i="6" s="1"/>
  <c r="G53" i="6"/>
  <c r="I53" i="6" s="1"/>
  <c r="V42" i="6"/>
  <c r="X42" i="6" s="1"/>
  <c r="AA37" i="6"/>
  <c r="AC37" i="6" s="1"/>
  <c r="AA32" i="6"/>
  <c r="AC32" i="6" s="1"/>
  <c r="AB36" i="6"/>
  <c r="V47" i="6"/>
  <c r="X47" i="6" s="1"/>
  <c r="G51" i="6"/>
  <c r="I51" i="6" s="1"/>
  <c r="Q38" i="6"/>
  <c r="S38" i="6" s="1"/>
  <c r="W53" i="6"/>
  <c r="G47" i="6"/>
  <c r="I47" i="6" s="1"/>
  <c r="AA35" i="6"/>
  <c r="AC35" i="6" s="1"/>
  <c r="AB35" i="6"/>
  <c r="H51" i="6"/>
  <c r="H53" i="6"/>
  <c r="H48" i="6"/>
  <c r="V52" i="6"/>
  <c r="X52" i="6" s="1"/>
  <c r="H50" i="6"/>
  <c r="H52" i="6"/>
  <c r="V45" i="6"/>
  <c r="X45" i="6" s="1"/>
  <c r="M52" i="6"/>
  <c r="N86" i="5"/>
  <c r="Q86" i="5" s="1"/>
  <c r="M40" i="6"/>
  <c r="M43" i="6"/>
  <c r="M46" i="6"/>
  <c r="M49" i="6"/>
  <c r="L54" i="6"/>
  <c r="N54" i="6" s="1"/>
  <c r="L45" i="6"/>
  <c r="N45" i="6" s="1"/>
  <c r="M48" i="6"/>
  <c r="L52" i="6"/>
  <c r="N52" i="6" s="1"/>
  <c r="L43" i="6"/>
  <c r="N43" i="6" s="1"/>
  <c r="L48" i="6"/>
  <c r="N48" i="6" s="1"/>
  <c r="L46" i="6"/>
  <c r="N46" i="6" s="1"/>
  <c r="M51" i="6"/>
  <c r="M42" i="6"/>
  <c r="L42" i="6"/>
  <c r="N42" i="6" s="1"/>
  <c r="L51" i="6"/>
  <c r="N51" i="6" s="1"/>
  <c r="M54" i="6"/>
  <c r="L49" i="6"/>
  <c r="N49" i="6" s="1"/>
  <c r="L40" i="6"/>
  <c r="N40" i="6" s="1"/>
  <c r="M45" i="6"/>
  <c r="R39" i="6"/>
  <c r="Q32" i="6"/>
  <c r="S32" i="6" s="1"/>
  <c r="R36" i="6"/>
  <c r="Q36" i="6"/>
  <c r="S36" i="6" s="1"/>
  <c r="Q35" i="6"/>
  <c r="S35" i="6" s="1"/>
  <c r="AA52" i="6"/>
  <c r="AC52" i="6" s="1"/>
  <c r="H40" i="6"/>
  <c r="B74" i="2"/>
  <c r="E74" i="2" s="1"/>
  <c r="Q45" i="6"/>
  <c r="S45" i="6" s="1"/>
  <c r="G48" i="6"/>
  <c r="I48" i="6" s="1"/>
  <c r="M53" i="6"/>
  <c r="R41" i="6"/>
  <c r="I86" i="5"/>
  <c r="J86" i="5" s="1"/>
  <c r="Q42" i="6"/>
  <c r="S42" i="6" s="1"/>
  <c r="G44" i="6"/>
  <c r="I44" i="6" s="1"/>
  <c r="AB39" i="6"/>
  <c r="AB42" i="6"/>
  <c r="AB47" i="6"/>
  <c r="H47" i="6"/>
  <c r="H49" i="6"/>
  <c r="W48" i="6"/>
  <c r="AB43" i="6"/>
  <c r="W38" i="6"/>
  <c r="Q48" i="6"/>
  <c r="S48" i="6" s="1"/>
  <c r="Q43" i="6"/>
  <c r="S43" i="6" s="1"/>
  <c r="R52" i="6"/>
  <c r="Q44" i="6"/>
  <c r="S44" i="6" s="1"/>
  <c r="R49" i="6"/>
  <c r="R53" i="6"/>
  <c r="Q54" i="6"/>
  <c r="S54" i="6" s="1"/>
  <c r="R54" i="6"/>
  <c r="R43" i="6"/>
  <c r="R44" i="6"/>
  <c r="R48" i="6"/>
  <c r="Q49" i="6"/>
  <c r="S49" i="6" s="1"/>
  <c r="V43" i="6"/>
  <c r="X43" i="6" s="1"/>
  <c r="H43" i="6"/>
  <c r="L44" i="6"/>
  <c r="N44" i="6" s="1"/>
  <c r="H39" i="6"/>
  <c r="H36" i="6"/>
  <c r="H33" i="6"/>
  <c r="G39" i="6"/>
  <c r="I39" i="6" s="1"/>
  <c r="G36" i="6"/>
  <c r="I36" i="6" s="1"/>
  <c r="G33" i="6"/>
  <c r="I33" i="6" s="1"/>
  <c r="H73" i="5"/>
  <c r="K73" i="5" s="1"/>
  <c r="I73" i="5"/>
  <c r="J73" i="5" s="1"/>
  <c r="H38" i="6"/>
  <c r="H35" i="6"/>
  <c r="H32" i="6"/>
  <c r="G38" i="6"/>
  <c r="I38" i="6" s="1"/>
  <c r="G35" i="6"/>
  <c r="I35" i="6" s="1"/>
  <c r="G32" i="6"/>
  <c r="I32" i="6" s="1"/>
  <c r="H37" i="6"/>
  <c r="H34" i="6"/>
  <c r="G34" i="6"/>
  <c r="I34" i="6" s="1"/>
  <c r="G37" i="6"/>
  <c r="I37" i="6" s="1"/>
  <c r="W49" i="6"/>
  <c r="V54" i="6"/>
  <c r="X54" i="6" s="1"/>
  <c r="W44" i="6"/>
  <c r="W45" i="6"/>
  <c r="W50" i="6"/>
  <c r="V40" i="6"/>
  <c r="X40" i="6" s="1"/>
  <c r="V46" i="6"/>
  <c r="X46" i="6" s="1"/>
  <c r="V51" i="6"/>
  <c r="X51" i="6" s="1"/>
  <c r="W54" i="6"/>
  <c r="V41" i="6"/>
  <c r="X41" i="6" s="1"/>
  <c r="W41" i="6"/>
  <c r="Q50" i="6"/>
  <c r="S50" i="6" s="1"/>
  <c r="I120" i="5"/>
  <c r="J120" i="5" s="1"/>
  <c r="G45" i="6"/>
  <c r="I45" i="6" s="1"/>
  <c r="AA42" i="6"/>
  <c r="AC42" i="6" s="1"/>
  <c r="M50" i="6"/>
  <c r="R46" i="6"/>
  <c r="Q47" i="6"/>
  <c r="S47" i="6" s="1"/>
  <c r="V33" i="6"/>
  <c r="X33" i="6" s="1"/>
  <c r="AB34" i="6"/>
  <c r="AA38" i="6"/>
  <c r="AC38" i="6" s="1"/>
  <c r="V35" i="6"/>
  <c r="X35" i="6" s="1"/>
  <c r="W43" i="6"/>
  <c r="Q46" i="6"/>
  <c r="S46" i="6" s="1"/>
  <c r="W51" i="6"/>
  <c r="V36" i="6"/>
  <c r="X36" i="6" s="1"/>
  <c r="V44" i="6"/>
  <c r="X44" i="6" s="1"/>
  <c r="B71" i="2"/>
  <c r="E71" i="2" s="1"/>
  <c r="G46" i="6"/>
  <c r="I46" i="6" s="1"/>
  <c r="G52" i="6"/>
  <c r="I52" i="6" s="1"/>
  <c r="G43" i="6"/>
  <c r="I43" i="6" s="1"/>
  <c r="G49" i="6"/>
  <c r="I49" i="6" s="1"/>
  <c r="G40" i="6"/>
  <c r="I40" i="6" s="1"/>
  <c r="Q40" i="6"/>
  <c r="S40" i="6" s="1"/>
  <c r="G42" i="6"/>
  <c r="I42" i="6" s="1"/>
  <c r="AA47" i="6"/>
  <c r="AC47" i="6" s="1"/>
  <c r="M47" i="6"/>
  <c r="Q51" i="6"/>
  <c r="S51" i="6" s="1"/>
  <c r="W37" i="6"/>
  <c r="R51" i="6"/>
  <c r="V38" i="6"/>
  <c r="X38" i="6" s="1"/>
  <c r="Q37" i="6"/>
  <c r="S37" i="6" s="1"/>
  <c r="O107" i="5"/>
  <c r="P107" i="5" s="1"/>
  <c r="AA33" i="6"/>
  <c r="AC33" i="6" s="1"/>
  <c r="W34" i="6"/>
  <c r="N69" i="2"/>
  <c r="Q69" i="2" s="1"/>
  <c r="AA44" i="6"/>
  <c r="AC44" i="6" s="1"/>
  <c r="AA54" i="6"/>
  <c r="AC54" i="6" s="1"/>
  <c r="AA49" i="6"/>
  <c r="AC49" i="6" s="1"/>
  <c r="AB45" i="6"/>
  <c r="AB50" i="6"/>
  <c r="AA40" i="6"/>
  <c r="AC40" i="6" s="1"/>
  <c r="AB44" i="6"/>
  <c r="O120" i="5"/>
  <c r="P120" i="5" s="1"/>
  <c r="AA46" i="6"/>
  <c r="AC46" i="6" s="1"/>
  <c r="AB49" i="6"/>
  <c r="AA51" i="6"/>
  <c r="AC51" i="6" s="1"/>
  <c r="AB54" i="6"/>
  <c r="AB51" i="6"/>
  <c r="AB53" i="6"/>
  <c r="H86" i="5"/>
  <c r="K86" i="5" s="1"/>
  <c r="AB40" i="6"/>
  <c r="AB46" i="6"/>
  <c r="H42" i="6"/>
  <c r="W35" i="6"/>
  <c r="H44" i="6"/>
  <c r="H46" i="6"/>
  <c r="AB41" i="6"/>
  <c r="R37" i="6"/>
  <c r="M37" i="6"/>
  <c r="M38" i="6"/>
  <c r="M35" i="6"/>
  <c r="M32" i="6"/>
  <c r="L38" i="6"/>
  <c r="N38" i="6" s="1"/>
  <c r="L35" i="6"/>
  <c r="N35" i="6" s="1"/>
  <c r="L32" i="6"/>
  <c r="N32" i="6" s="1"/>
  <c r="M34" i="6"/>
  <c r="L36" i="6"/>
  <c r="N36" i="6" s="1"/>
  <c r="L34" i="6"/>
  <c r="N34" i="6" s="1"/>
  <c r="M33" i="6"/>
  <c r="L33" i="6"/>
  <c r="N33" i="6" s="1"/>
  <c r="M39" i="6"/>
  <c r="L39" i="6"/>
  <c r="N39" i="6" s="1"/>
  <c r="L37" i="6"/>
  <c r="N37" i="6" s="1"/>
  <c r="M36" i="6"/>
  <c r="C71" i="2"/>
  <c r="W32" i="6"/>
  <c r="B120" i="5"/>
  <c r="E120" i="5" s="1"/>
  <c r="AB52" i="6"/>
  <c r="M44" i="6"/>
  <c r="W36" i="6"/>
  <c r="AA43" i="6"/>
  <c r="AC43" i="6" s="1"/>
  <c r="Q34" i="6"/>
  <c r="S34" i="6" s="1"/>
  <c r="R42" i="6"/>
  <c r="O86" i="5"/>
  <c r="P86" i="5" s="1"/>
  <c r="R35" i="6"/>
  <c r="H54" i="6"/>
  <c r="AB32" i="6"/>
  <c r="D30" i="5"/>
  <c r="B25" i="6"/>
  <c r="D25" i="6" s="1"/>
  <c r="B26" i="6"/>
  <c r="D26" i="6" s="1"/>
  <c r="C27" i="6"/>
  <c r="C25" i="6"/>
  <c r="B107" i="5"/>
  <c r="E107" i="5" s="1"/>
  <c r="C107" i="5"/>
  <c r="D107" i="5" s="1"/>
  <c r="O69" i="2"/>
  <c r="N72" i="2"/>
  <c r="Q72" i="2" s="1"/>
  <c r="O50" i="2"/>
  <c r="O73" i="2"/>
  <c r="C74" i="2"/>
  <c r="I68" i="2"/>
  <c r="B76" i="2"/>
  <c r="E76" i="2" s="1"/>
  <c r="B73" i="2"/>
  <c r="E73" i="2" s="1"/>
  <c r="O57" i="2"/>
  <c r="I65" i="2"/>
  <c r="I54" i="2"/>
  <c r="B68" i="2"/>
  <c r="E68" i="2" s="1"/>
  <c r="N70" i="2"/>
  <c r="Q70" i="2" s="1"/>
  <c r="I66" i="2"/>
  <c r="N50" i="2"/>
  <c r="Q50" i="2" s="1"/>
  <c r="O70" i="2"/>
  <c r="N73" i="2"/>
  <c r="Q73" i="2" s="1"/>
  <c r="H80" i="2"/>
  <c r="K80" i="2" s="1"/>
  <c r="O72" i="2"/>
  <c r="H74" i="2"/>
  <c r="K74" i="2" s="1"/>
  <c r="C73" i="2"/>
  <c r="O75" i="2"/>
  <c r="B72" i="2"/>
  <c r="E72" i="2" s="1"/>
  <c r="O74" i="2"/>
  <c r="N71" i="2"/>
  <c r="Q71" i="2" s="1"/>
  <c r="I70" i="2"/>
  <c r="N58" i="2"/>
  <c r="Q58" i="2" s="1"/>
  <c r="H69" i="2"/>
  <c r="K69" i="2" s="1"/>
  <c r="O71" i="2"/>
  <c r="I69" i="2"/>
  <c r="H70" i="2"/>
  <c r="K70" i="2" s="1"/>
  <c r="N79" i="2"/>
  <c r="Q79" i="2" s="1"/>
  <c r="C76" i="2"/>
  <c r="O76" i="2"/>
  <c r="N76" i="2"/>
  <c r="Q76" i="2" s="1"/>
  <c r="H79" i="2"/>
  <c r="K79" i="2" s="1"/>
  <c r="H77" i="2"/>
  <c r="K77" i="2" s="1"/>
  <c r="H75" i="2"/>
  <c r="K75" i="2" s="1"/>
  <c r="I78" i="2"/>
  <c r="N78" i="2"/>
  <c r="Q78" i="2" s="1"/>
  <c r="H60" i="2"/>
  <c r="K60" i="2" s="1"/>
  <c r="C78" i="2"/>
  <c r="I47" i="2"/>
  <c r="H48" i="2"/>
  <c r="K48" i="2" s="1"/>
  <c r="H45" i="2"/>
  <c r="K45" i="2" s="1"/>
  <c r="H47" i="2"/>
  <c r="K47" i="2" s="1"/>
  <c r="I46" i="2"/>
  <c r="H46" i="2"/>
  <c r="K46" i="2" s="1"/>
  <c r="I48" i="2"/>
  <c r="I45" i="2"/>
  <c r="B80" i="2"/>
  <c r="E80" i="2" s="1"/>
  <c r="C80" i="2"/>
  <c r="B69" i="2"/>
  <c r="E69" i="2" s="1"/>
  <c r="C79" i="2"/>
  <c r="I79" i="2"/>
  <c r="I75" i="2"/>
  <c r="N53" i="2"/>
  <c r="Q53" i="2" s="1"/>
  <c r="H59" i="2"/>
  <c r="K59" i="2" s="1"/>
  <c r="I67" i="2"/>
  <c r="H58" i="2"/>
  <c r="K58" i="2" s="1"/>
  <c r="B75" i="2"/>
  <c r="E75" i="2" s="1"/>
  <c r="B66" i="2"/>
  <c r="E66" i="2" s="1"/>
  <c r="I76" i="2"/>
  <c r="O77" i="2"/>
  <c r="O51" i="2"/>
  <c r="O79" i="2"/>
  <c r="I59" i="2"/>
  <c r="I53" i="2"/>
  <c r="H76" i="2"/>
  <c r="K76" i="2" s="1"/>
  <c r="N59" i="2"/>
  <c r="Q59" i="2" s="1"/>
  <c r="I80" i="2"/>
  <c r="C67" i="2"/>
  <c r="B65" i="2"/>
  <c r="E65" i="2" s="1"/>
  <c r="N80" i="2"/>
  <c r="Q80" i="2" s="1"/>
  <c r="C66" i="2"/>
  <c r="O67" i="2"/>
  <c r="I74" i="2"/>
  <c r="C70" i="2"/>
  <c r="O66" i="2"/>
  <c r="N67" i="2"/>
  <c r="Q67" i="2" s="1"/>
  <c r="N68" i="2"/>
  <c r="Q68" i="2" s="1"/>
  <c r="H57" i="2"/>
  <c r="K57" i="2" s="1"/>
  <c r="B77" i="2"/>
  <c r="E77" i="2" s="1"/>
  <c r="C69" i="2"/>
  <c r="N52" i="2"/>
  <c r="Q52" i="2" s="1"/>
  <c r="O80" i="2"/>
  <c r="H68" i="2"/>
  <c r="K68" i="2" s="1"/>
  <c r="H67" i="2"/>
  <c r="K67" i="2" s="1"/>
  <c r="H65" i="2"/>
  <c r="K65" i="2" s="1"/>
  <c r="H66" i="2"/>
  <c r="K66" i="2" s="1"/>
  <c r="O52" i="2"/>
  <c r="N51" i="2"/>
  <c r="Q51" i="2" s="1"/>
  <c r="N75" i="2"/>
  <c r="Q75" i="2" s="1"/>
  <c r="I73" i="2"/>
  <c r="N77" i="2"/>
  <c r="Q77" i="2" s="1"/>
  <c r="N57" i="2"/>
  <c r="Q57" i="2" s="1"/>
  <c r="H50" i="2"/>
  <c r="K50" i="2" s="1"/>
  <c r="H73" i="2"/>
  <c r="K73" i="2" s="1"/>
  <c r="O54" i="2"/>
  <c r="B70" i="2"/>
  <c r="E70" i="2" s="1"/>
  <c r="I60" i="2"/>
  <c r="B67" i="2"/>
  <c r="E67" i="2" s="1"/>
  <c r="O78" i="2"/>
  <c r="N56" i="2"/>
  <c r="Q56" i="2" s="1"/>
  <c r="H49" i="2"/>
  <c r="K49" i="2" s="1"/>
  <c r="B79" i="2"/>
  <c r="E79" i="2" s="1"/>
  <c r="N55" i="2"/>
  <c r="Q55" i="2" s="1"/>
  <c r="H71" i="2"/>
  <c r="K71" i="2" s="1"/>
  <c r="O55" i="2"/>
  <c r="O59" i="2"/>
  <c r="H56" i="2"/>
  <c r="K56" i="2" s="1"/>
  <c r="I51" i="2"/>
  <c r="I58" i="2"/>
  <c r="I55" i="2"/>
  <c r="I57" i="2"/>
  <c r="H54" i="2"/>
  <c r="K54" i="2" s="1"/>
  <c r="H53" i="2"/>
  <c r="K53" i="2" s="1"/>
  <c r="H51" i="2"/>
  <c r="K51" i="2" s="1"/>
  <c r="I56" i="2"/>
  <c r="I52" i="2"/>
  <c r="O65" i="2"/>
  <c r="N65" i="2"/>
  <c r="Q65" i="2" s="1"/>
  <c r="O68" i="2"/>
  <c r="I49" i="2"/>
  <c r="H55" i="2"/>
  <c r="K55" i="2" s="1"/>
  <c r="I72" i="2"/>
  <c r="O49" i="2"/>
  <c r="N54" i="2"/>
  <c r="Q54" i="2" s="1"/>
  <c r="N49" i="2"/>
  <c r="Q49" i="2" s="1"/>
  <c r="N66" i="2"/>
  <c r="Q66" i="2" s="1"/>
  <c r="H52" i="2"/>
  <c r="K52" i="2" s="1"/>
  <c r="O58" i="2"/>
  <c r="H72" i="2"/>
  <c r="K72" i="2" s="1"/>
  <c r="N60" i="2"/>
  <c r="Q60" i="2" s="1"/>
  <c r="O60" i="2"/>
  <c r="I50" i="2"/>
  <c r="C65" i="2"/>
  <c r="C77" i="2"/>
  <c r="C72" i="2"/>
  <c r="N74" i="2"/>
  <c r="Q74" i="2" s="1"/>
  <c r="H78" i="2"/>
  <c r="K78" i="2" s="1"/>
  <c r="I77" i="2"/>
  <c r="B78" i="2"/>
  <c r="E78" i="2" s="1"/>
  <c r="C75" i="2"/>
  <c r="C68" i="2"/>
  <c r="I71" i="2"/>
  <c r="N48" i="2"/>
  <c r="Q48" i="2" s="1"/>
  <c r="N47" i="2"/>
  <c r="Q47" i="2" s="1"/>
  <c r="O46" i="2"/>
  <c r="N46" i="2"/>
  <c r="Q46" i="2" s="1"/>
  <c r="N45" i="2"/>
  <c r="Q45" i="2" s="1"/>
  <c r="O47" i="2"/>
  <c r="O48" i="2"/>
  <c r="O45" i="2"/>
  <c r="O56" i="2"/>
  <c r="O53" i="2"/>
  <c r="M62" i="4"/>
  <c r="M42" i="4"/>
  <c r="M22" i="4"/>
  <c r="M62" i="2"/>
  <c r="M42" i="2"/>
  <c r="M22" i="2"/>
  <c r="AD80" i="1"/>
  <c r="B76" i="10" s="1"/>
  <c r="E76" i="10" s="1"/>
  <c r="AC54" i="1"/>
  <c r="B56" i="4" l="1"/>
  <c r="E56" i="4" s="1"/>
  <c r="C56" i="4"/>
  <c r="B77" i="10"/>
  <c r="E77" i="10" s="1"/>
  <c r="B73" i="10"/>
  <c r="E73" i="10" s="1"/>
  <c r="B60" i="4"/>
  <c r="E60" i="4" s="1"/>
  <c r="B75" i="10"/>
  <c r="E75" i="10" s="1"/>
  <c r="B57" i="4"/>
  <c r="E57" i="4" s="1"/>
  <c r="C78" i="10"/>
  <c r="D78" i="10" s="1"/>
  <c r="B72" i="10"/>
  <c r="E72" i="10" s="1"/>
  <c r="C57" i="4"/>
  <c r="C77" i="10"/>
  <c r="D77" i="10" s="1"/>
  <c r="C72" i="10"/>
  <c r="D72" i="10" s="1"/>
  <c r="C58" i="4"/>
  <c r="B74" i="10"/>
  <c r="E74" i="10" s="1"/>
  <c r="B58" i="4"/>
  <c r="E58" i="4" s="1"/>
  <c r="C74" i="10"/>
  <c r="D74" i="10" s="1"/>
  <c r="B59" i="4"/>
  <c r="E59" i="4" s="1"/>
  <c r="C73" i="10"/>
  <c r="D73" i="10" s="1"/>
  <c r="C75" i="10"/>
  <c r="D75" i="10" s="1"/>
  <c r="C59" i="4"/>
  <c r="C76" i="10"/>
  <c r="D76" i="10" s="1"/>
  <c r="C60" i="4"/>
  <c r="B78" i="10"/>
  <c r="E78" i="10" s="1"/>
  <c r="AC70" i="1"/>
  <c r="AC55" i="1"/>
  <c r="AC83" i="1"/>
  <c r="AC51" i="1"/>
  <c r="N67" i="4"/>
  <c r="Q67" i="4" s="1"/>
  <c r="D66" i="2"/>
  <c r="D65" i="2"/>
  <c r="D67" i="2"/>
  <c r="D68" i="2"/>
  <c r="P67" i="2"/>
  <c r="P68" i="2"/>
  <c r="P66" i="2"/>
  <c r="P65" i="2"/>
  <c r="P47" i="4"/>
  <c r="P48" i="2"/>
  <c r="P46" i="2"/>
  <c r="P48" i="4"/>
  <c r="P46" i="4"/>
  <c r="P45" i="4"/>
  <c r="P47" i="2"/>
  <c r="P45" i="2"/>
  <c r="J45" i="2"/>
  <c r="J48" i="2"/>
  <c r="J47" i="2"/>
  <c r="J46" i="2"/>
  <c r="J46" i="4"/>
  <c r="J47" i="4"/>
  <c r="J48" i="4"/>
  <c r="J45" i="4"/>
  <c r="C65" i="4"/>
  <c r="D65" i="4" s="1"/>
  <c r="O67" i="4"/>
  <c r="P67" i="4" s="1"/>
  <c r="N66" i="4"/>
  <c r="Q66" i="4" s="1"/>
  <c r="B65" i="4"/>
  <c r="E65" i="4" s="1"/>
  <c r="C68" i="4"/>
  <c r="D68" i="4" s="1"/>
  <c r="C66" i="4"/>
  <c r="D66" i="4" s="1"/>
  <c r="B68" i="4"/>
  <c r="E68" i="4" s="1"/>
  <c r="B66" i="4"/>
  <c r="E66" i="4" s="1"/>
  <c r="B67" i="4"/>
  <c r="E67" i="4" s="1"/>
  <c r="C67" i="4"/>
  <c r="D67" i="4" s="1"/>
  <c r="B67" i="10" l="1"/>
  <c r="E67" i="10" s="1"/>
  <c r="B61" i="10"/>
  <c r="E61" i="10" s="1"/>
  <c r="B65" i="10"/>
  <c r="E65" i="10" s="1"/>
  <c r="B64" i="10"/>
  <c r="E64" i="10" s="1"/>
  <c r="C62" i="10"/>
  <c r="D62" i="10" s="1"/>
  <c r="B68" i="10"/>
  <c r="E68" i="10" s="1"/>
  <c r="B62" i="10"/>
  <c r="E62" i="10" s="1"/>
  <c r="B59" i="10"/>
  <c r="E59" i="10" s="1"/>
  <c r="C67" i="10"/>
  <c r="D67" i="10" s="1"/>
  <c r="B66" i="10"/>
  <c r="E66" i="10" s="1"/>
  <c r="C61" i="10"/>
  <c r="D61" i="10" s="1"/>
  <c r="C63" i="10"/>
  <c r="D63" i="10" s="1"/>
  <c r="B69" i="10"/>
  <c r="E69" i="10" s="1"/>
  <c r="C65" i="10"/>
  <c r="D65" i="10" s="1"/>
  <c r="B70" i="10"/>
  <c r="E70" i="10" s="1"/>
  <c r="C68" i="10"/>
  <c r="D68" i="10" s="1"/>
  <c r="C69" i="10"/>
  <c r="D69" i="10" s="1"/>
  <c r="C66" i="10"/>
  <c r="D66" i="10" s="1"/>
  <c r="C60" i="10"/>
  <c r="D60" i="10" s="1"/>
  <c r="C59" i="10"/>
  <c r="D59" i="10" s="1"/>
  <c r="B60" i="10"/>
  <c r="E60" i="10" s="1"/>
  <c r="C64" i="10"/>
  <c r="D64" i="10" s="1"/>
  <c r="B63" i="10"/>
  <c r="E63" i="10" s="1"/>
  <c r="C70" i="10"/>
  <c r="D70" i="10" s="1"/>
  <c r="C50" i="4"/>
  <c r="D50" i="4" s="1"/>
  <c r="B49" i="4"/>
  <c r="E49" i="4" s="1"/>
  <c r="B54" i="4"/>
  <c r="E54" i="4" s="1"/>
  <c r="B50" i="4"/>
  <c r="E50" i="4" s="1"/>
  <c r="B45" i="4"/>
  <c r="E45" i="4" s="1"/>
  <c r="C49" i="4"/>
  <c r="D49" i="4" s="1"/>
  <c r="C52" i="4"/>
  <c r="D52" i="4" s="1"/>
  <c r="C45" i="4"/>
  <c r="D45" i="4" s="1"/>
  <c r="B51" i="4"/>
  <c r="E51" i="4" s="1"/>
  <c r="C51" i="4"/>
  <c r="D51" i="4" s="1"/>
  <c r="C53" i="4"/>
  <c r="D53" i="4" s="1"/>
  <c r="C54" i="4"/>
  <c r="D54" i="4" s="1"/>
  <c r="B52" i="4"/>
  <c r="E52" i="4" s="1"/>
  <c r="B53" i="4"/>
  <c r="E53" i="4" s="1"/>
  <c r="E48" i="4"/>
  <c r="D55" i="4"/>
  <c r="D57" i="4"/>
  <c r="D56" i="4"/>
  <c r="D58" i="4"/>
  <c r="D60" i="4"/>
  <c r="D59" i="4"/>
  <c r="B90" i="5"/>
  <c r="E90" i="5" s="1"/>
  <c r="C55" i="2"/>
  <c r="D55" i="2" s="1"/>
  <c r="B55" i="2"/>
  <c r="E55" i="2" s="1"/>
  <c r="B44" i="6"/>
  <c r="D44" i="6" s="1"/>
  <c r="C44" i="6"/>
  <c r="C90" i="5"/>
  <c r="D90" i="5" s="1"/>
  <c r="C95" i="5"/>
  <c r="D95" i="5" s="1"/>
  <c r="B50" i="6"/>
  <c r="D50" i="6" s="1"/>
  <c r="C45" i="6"/>
  <c r="B49" i="6"/>
  <c r="D49" i="6" s="1"/>
  <c r="C51" i="6"/>
  <c r="C46" i="6"/>
  <c r="B58" i="2"/>
  <c r="E58" i="2" s="1"/>
  <c r="C96" i="5"/>
  <c r="D96" i="5" s="1"/>
  <c r="B57" i="2"/>
  <c r="E57" i="2" s="1"/>
  <c r="B91" i="5"/>
  <c r="E91" i="5" s="1"/>
  <c r="B92" i="5"/>
  <c r="E92" i="5" s="1"/>
  <c r="B45" i="6"/>
  <c r="D45" i="6" s="1"/>
  <c r="B56" i="2"/>
  <c r="E56" i="2" s="1"/>
  <c r="B95" i="5"/>
  <c r="E95" i="5" s="1"/>
  <c r="B46" i="6"/>
  <c r="D46" i="6" s="1"/>
  <c r="C57" i="2"/>
  <c r="D57" i="2" s="1"/>
  <c r="C92" i="5"/>
  <c r="D92" i="5" s="1"/>
  <c r="C91" i="5"/>
  <c r="D91" i="5" s="1"/>
  <c r="C56" i="2"/>
  <c r="D56" i="2" s="1"/>
  <c r="C50" i="6"/>
  <c r="B48" i="6"/>
  <c r="D48" i="6" s="1"/>
  <c r="B60" i="2"/>
  <c r="E60" i="2" s="1"/>
  <c r="C97" i="5"/>
  <c r="D97" i="5" s="1"/>
  <c r="C58" i="2"/>
  <c r="D58" i="2" s="1"/>
  <c r="C49" i="6"/>
  <c r="C93" i="5"/>
  <c r="D93" i="5" s="1"/>
  <c r="C94" i="5"/>
  <c r="D94" i="5" s="1"/>
  <c r="B96" i="5"/>
  <c r="E96" i="5" s="1"/>
  <c r="C47" i="6"/>
  <c r="B51" i="6"/>
  <c r="D51" i="6" s="1"/>
  <c r="C48" i="6"/>
  <c r="C60" i="2"/>
  <c r="D60" i="2" s="1"/>
  <c r="B94" i="5"/>
  <c r="E94" i="5" s="1"/>
  <c r="B93" i="5"/>
  <c r="E93" i="5" s="1"/>
  <c r="B59" i="2"/>
  <c r="E59" i="2" s="1"/>
  <c r="B97" i="5"/>
  <c r="E97" i="5" s="1"/>
  <c r="C59" i="2"/>
  <c r="D59" i="2" s="1"/>
  <c r="B47" i="6"/>
  <c r="D47" i="6" s="1"/>
  <c r="B45" i="2"/>
  <c r="E45" i="2" s="1"/>
  <c r="C32" i="6"/>
  <c r="C45" i="2"/>
  <c r="D45" i="2" s="1"/>
  <c r="B32" i="6"/>
  <c r="D32" i="6" s="1"/>
  <c r="B73" i="5"/>
  <c r="E73" i="5" s="1"/>
  <c r="C73" i="5"/>
  <c r="D73" i="5" s="1"/>
  <c r="B34" i="6"/>
  <c r="D34" i="6" s="1"/>
  <c r="B40" i="6"/>
  <c r="D40" i="6" s="1"/>
  <c r="B36" i="6"/>
  <c r="D36" i="6" s="1"/>
  <c r="C43" i="6"/>
  <c r="C37" i="6"/>
  <c r="C38" i="6"/>
  <c r="B49" i="2"/>
  <c r="E49" i="2" s="1"/>
  <c r="B43" i="6"/>
  <c r="D43" i="6" s="1"/>
  <c r="B50" i="2"/>
  <c r="E50" i="2" s="1"/>
  <c r="C52" i="2"/>
  <c r="C39" i="6"/>
  <c r="B37" i="6"/>
  <c r="D37" i="6" s="1"/>
  <c r="C46" i="2"/>
  <c r="D46" i="2" s="1"/>
  <c r="B38" i="6"/>
  <c r="D38" i="6" s="1"/>
  <c r="C51" i="2"/>
  <c r="C36" i="6"/>
  <c r="B47" i="2"/>
  <c r="E47" i="2" s="1"/>
  <c r="B53" i="2"/>
  <c r="E53" i="2" s="1"/>
  <c r="C42" i="6"/>
  <c r="B33" i="6"/>
  <c r="D33" i="6" s="1"/>
  <c r="C53" i="2"/>
  <c r="C50" i="2"/>
  <c r="C34" i="6"/>
  <c r="E48" i="2"/>
  <c r="B39" i="6"/>
  <c r="D39" i="6" s="1"/>
  <c r="B51" i="2"/>
  <c r="E51" i="2" s="1"/>
  <c r="C40" i="6"/>
  <c r="B46" i="2"/>
  <c r="E46" i="2" s="1"/>
  <c r="B42" i="6"/>
  <c r="D42" i="6" s="1"/>
  <c r="B35" i="6"/>
  <c r="D35" i="6" s="1"/>
  <c r="B41" i="6"/>
  <c r="D41" i="6" s="1"/>
  <c r="C33" i="6"/>
  <c r="C41" i="6"/>
  <c r="C35" i="6"/>
  <c r="C49" i="2"/>
  <c r="B52" i="2"/>
  <c r="E52" i="2" s="1"/>
  <c r="C54" i="2"/>
  <c r="B54" i="2"/>
  <c r="E54" i="2" s="1"/>
  <c r="C47" i="2"/>
  <c r="D47" i="2" s="1"/>
  <c r="AA8" i="6"/>
  <c r="AC8" i="6" s="1"/>
  <c r="AA9" i="6"/>
  <c r="AC9" i="6" s="1"/>
  <c r="AB8" i="6"/>
  <c r="AB9" i="6"/>
  <c r="AB5" i="6"/>
  <c r="AA5" i="6"/>
  <c r="AC5" i="6" s="1"/>
  <c r="AA6" i="6"/>
  <c r="AC6" i="6" s="1"/>
  <c r="AB6" i="6"/>
  <c r="AA7" i="6"/>
  <c r="AC7" i="6" s="1"/>
  <c r="AB7" i="6"/>
  <c r="AA10" i="6"/>
  <c r="AC10" i="6" s="1"/>
  <c r="AB10" i="6"/>
  <c r="AA11" i="6"/>
  <c r="AC11" i="6" s="1"/>
  <c r="AB11" i="6"/>
  <c r="AA12" i="6"/>
  <c r="AC12" i="6" s="1"/>
  <c r="AB12" i="6"/>
  <c r="C24" i="6"/>
  <c r="C22" i="6"/>
  <c r="C18" i="6"/>
  <c r="C20" i="6"/>
  <c r="B24" i="6"/>
  <c r="D24" i="6" s="1"/>
  <c r="B22" i="6"/>
  <c r="D22" i="6" s="1"/>
  <c r="B20" i="6"/>
  <c r="D20" i="6" s="1"/>
  <c r="B18" i="6"/>
  <c r="D18" i="6" s="1"/>
  <c r="C21" i="6"/>
  <c r="B21" i="6"/>
  <c r="D21" i="6" s="1"/>
  <c r="B17" i="6"/>
  <c r="D17" i="6" s="1"/>
  <c r="D22" i="5"/>
  <c r="C19" i="6"/>
  <c r="C23" i="6"/>
  <c r="C17" i="6"/>
  <c r="B19" i="6"/>
  <c r="D19" i="6" s="1"/>
  <c r="B23" i="6"/>
  <c r="D23" i="6" s="1"/>
  <c r="H12" i="6"/>
  <c r="H10" i="6"/>
  <c r="H8" i="6"/>
  <c r="H6" i="6"/>
  <c r="G12" i="6"/>
  <c r="I12" i="6" s="1"/>
  <c r="G10" i="6"/>
  <c r="I10" i="6" s="1"/>
  <c r="G8" i="6"/>
  <c r="I8" i="6" s="1"/>
  <c r="G6" i="6"/>
  <c r="I6" i="6" s="1"/>
  <c r="H9" i="6"/>
  <c r="G9" i="6"/>
  <c r="I9" i="6" s="1"/>
  <c r="G11" i="6"/>
  <c r="I11" i="6" s="1"/>
  <c r="G5" i="6"/>
  <c r="I5" i="6" s="1"/>
  <c r="H11" i="6"/>
  <c r="H7" i="6"/>
  <c r="H5" i="6"/>
  <c r="G7" i="6"/>
  <c r="I7" i="6" s="1"/>
  <c r="R11" i="6"/>
  <c r="Q7" i="6"/>
  <c r="S7" i="6" s="1"/>
  <c r="R7" i="6"/>
  <c r="Q12" i="6"/>
  <c r="S12" i="6" s="1"/>
  <c r="R12" i="6"/>
  <c r="Q8" i="6"/>
  <c r="S8" i="6" s="1"/>
  <c r="R8" i="6"/>
  <c r="R5" i="6"/>
  <c r="Q9" i="6"/>
  <c r="S9" i="6" s="1"/>
  <c r="Q5" i="6"/>
  <c r="S5" i="6" s="1"/>
  <c r="R9" i="6"/>
  <c r="Q10" i="6"/>
  <c r="S10" i="6" s="1"/>
  <c r="R10" i="6"/>
  <c r="Q11" i="6"/>
  <c r="S11" i="6" s="1"/>
  <c r="R6" i="6"/>
  <c r="Q6" i="6"/>
  <c r="S6" i="6" s="1"/>
  <c r="V6" i="6"/>
  <c r="X6" i="6" s="1"/>
  <c r="V11" i="6"/>
  <c r="X11" i="6" s="1"/>
  <c r="V12" i="6"/>
  <c r="X12" i="6" s="1"/>
  <c r="W6" i="6"/>
  <c r="W11" i="6"/>
  <c r="V7" i="6"/>
  <c r="X7" i="6" s="1"/>
  <c r="W7" i="6"/>
  <c r="W12" i="6"/>
  <c r="V8" i="6"/>
  <c r="X8" i="6" s="1"/>
  <c r="W8" i="6"/>
  <c r="V9" i="6"/>
  <c r="X9" i="6" s="1"/>
  <c r="W9" i="6"/>
  <c r="W10" i="6"/>
  <c r="V5" i="6"/>
  <c r="X5" i="6" s="1"/>
  <c r="V10" i="6"/>
  <c r="X10" i="6" s="1"/>
  <c r="W5" i="6"/>
  <c r="H26" i="6"/>
  <c r="H24" i="6"/>
  <c r="H22" i="6"/>
  <c r="H20" i="6"/>
  <c r="H18" i="6"/>
  <c r="H16" i="6"/>
  <c r="H14" i="6"/>
  <c r="G26" i="6"/>
  <c r="I26" i="6" s="1"/>
  <c r="G24" i="6"/>
  <c r="I24" i="6" s="1"/>
  <c r="G22" i="6"/>
  <c r="I22" i="6" s="1"/>
  <c r="G20" i="6"/>
  <c r="I20" i="6" s="1"/>
  <c r="G18" i="6"/>
  <c r="I18" i="6" s="1"/>
  <c r="G16" i="6"/>
  <c r="I16" i="6" s="1"/>
  <c r="G14" i="6"/>
  <c r="I14" i="6" s="1"/>
  <c r="H27" i="6"/>
  <c r="H21" i="6"/>
  <c r="H15" i="6"/>
  <c r="G27" i="6"/>
  <c r="I27" i="6" s="1"/>
  <c r="G21" i="6"/>
  <c r="I21" i="6" s="1"/>
  <c r="G15" i="6"/>
  <c r="I15" i="6" s="1"/>
  <c r="G23" i="6"/>
  <c r="I23" i="6" s="1"/>
  <c r="G17" i="6"/>
  <c r="I17" i="6" s="1"/>
  <c r="G19" i="6"/>
  <c r="I19" i="6" s="1"/>
  <c r="G13" i="6"/>
  <c r="I13" i="6" s="1"/>
  <c r="H17" i="6"/>
  <c r="H25" i="6"/>
  <c r="G25" i="6"/>
  <c r="I25" i="6" s="1"/>
  <c r="H19" i="6"/>
  <c r="H23" i="6"/>
  <c r="H13" i="6"/>
  <c r="Q16" i="6"/>
  <c r="S16" i="6" s="1"/>
  <c r="Q21" i="6"/>
  <c r="S21" i="6" s="1"/>
  <c r="R26" i="6"/>
  <c r="Q17" i="6"/>
  <c r="S17" i="6" s="1"/>
  <c r="Q27" i="6"/>
  <c r="S27" i="6" s="1"/>
  <c r="R16" i="6"/>
  <c r="R21" i="6"/>
  <c r="Q22" i="6"/>
  <c r="S22" i="6" s="1"/>
  <c r="R17" i="6"/>
  <c r="R22" i="6"/>
  <c r="R27" i="6"/>
  <c r="Q20" i="6"/>
  <c r="S20" i="6" s="1"/>
  <c r="Q13" i="6"/>
  <c r="S13" i="6" s="1"/>
  <c r="R20" i="6"/>
  <c r="Q14" i="6"/>
  <c r="S14" i="6" s="1"/>
  <c r="Q23" i="6"/>
  <c r="S23" i="6" s="1"/>
  <c r="R14" i="6"/>
  <c r="R23" i="6"/>
  <c r="R15" i="6"/>
  <c r="R24" i="6"/>
  <c r="Q15" i="6"/>
  <c r="S15" i="6" s="1"/>
  <c r="Q24" i="6"/>
  <c r="S24" i="6" s="1"/>
  <c r="Q25" i="6"/>
  <c r="S25" i="6" s="1"/>
  <c r="Q26" i="6"/>
  <c r="S26" i="6" s="1"/>
  <c r="R13" i="6"/>
  <c r="Q18" i="6"/>
  <c r="S18" i="6" s="1"/>
  <c r="R18" i="6"/>
  <c r="Q19" i="6"/>
  <c r="S19" i="6" s="1"/>
  <c r="R19" i="6"/>
  <c r="R25" i="6"/>
  <c r="AB14" i="6"/>
  <c r="AA20" i="6"/>
  <c r="AC20" i="6" s="1"/>
  <c r="AB25" i="6"/>
  <c r="AA21" i="6"/>
  <c r="AC21" i="6" s="1"/>
  <c r="AA15" i="6"/>
  <c r="AC15" i="6" s="1"/>
  <c r="AB20" i="6"/>
  <c r="AB15" i="6"/>
  <c r="AA26" i="6"/>
  <c r="AC26" i="6" s="1"/>
  <c r="AA16" i="6"/>
  <c r="AC16" i="6" s="1"/>
  <c r="AB21" i="6"/>
  <c r="AB26" i="6"/>
  <c r="AA19" i="6"/>
  <c r="AC19" i="6" s="1"/>
  <c r="AB13" i="6"/>
  <c r="AB19" i="6"/>
  <c r="AA13" i="6"/>
  <c r="AC13" i="6" s="1"/>
  <c r="AA22" i="6"/>
  <c r="AC22" i="6" s="1"/>
  <c r="AB22" i="6"/>
  <c r="AA23" i="6"/>
  <c r="AC23" i="6" s="1"/>
  <c r="AA14" i="6"/>
  <c r="AC14" i="6" s="1"/>
  <c r="AB23" i="6"/>
  <c r="AB16" i="6"/>
  <c r="AA24" i="6"/>
  <c r="AC24" i="6" s="1"/>
  <c r="AA27" i="6"/>
  <c r="AC27" i="6" s="1"/>
  <c r="AA17" i="6"/>
  <c r="AC17" i="6" s="1"/>
  <c r="AB17" i="6"/>
  <c r="AA18" i="6"/>
  <c r="AC18" i="6" s="1"/>
  <c r="AB18" i="6"/>
  <c r="AB24" i="6"/>
  <c r="AA25" i="6"/>
  <c r="AC25" i="6" s="1"/>
  <c r="AB27" i="6"/>
  <c r="C14" i="6"/>
  <c r="C12" i="6"/>
  <c r="C8" i="6"/>
  <c r="C16" i="6"/>
  <c r="C10" i="6"/>
  <c r="C6" i="6"/>
  <c r="B16" i="6"/>
  <c r="D16" i="6" s="1"/>
  <c r="B14" i="6"/>
  <c r="D14" i="6" s="1"/>
  <c r="B12" i="6"/>
  <c r="D12" i="6" s="1"/>
  <c r="B10" i="6"/>
  <c r="D10" i="6" s="1"/>
  <c r="B8" i="6"/>
  <c r="D8" i="6" s="1"/>
  <c r="B6" i="6"/>
  <c r="D6" i="6" s="1"/>
  <c r="C15" i="6"/>
  <c r="C9" i="6"/>
  <c r="B15" i="6"/>
  <c r="D15" i="6" s="1"/>
  <c r="B9" i="6"/>
  <c r="D9" i="6" s="1"/>
  <c r="C7" i="6"/>
  <c r="B13" i="6"/>
  <c r="D13" i="6" s="1"/>
  <c r="C11" i="6"/>
  <c r="B7" i="6"/>
  <c r="D7" i="6" s="1"/>
  <c r="B11" i="6"/>
  <c r="D11" i="6" s="1"/>
  <c r="C5" i="6"/>
  <c r="B5" i="6"/>
  <c r="D5" i="6" s="1"/>
  <c r="C13" i="6"/>
  <c r="D5" i="5"/>
  <c r="M12" i="6"/>
  <c r="M6" i="6"/>
  <c r="L12" i="6"/>
  <c r="N12" i="6" s="1"/>
  <c r="L6" i="6"/>
  <c r="N6" i="6" s="1"/>
  <c r="M11" i="6"/>
  <c r="M5" i="6"/>
  <c r="L11" i="6"/>
  <c r="N11" i="6" s="1"/>
  <c r="L5" i="6"/>
  <c r="N5" i="6" s="1"/>
  <c r="L8" i="6"/>
  <c r="N8" i="6" s="1"/>
  <c r="L9" i="6"/>
  <c r="N9" i="6" s="1"/>
  <c r="M8" i="6"/>
  <c r="M7" i="6"/>
  <c r="M9" i="6"/>
  <c r="M10" i="6"/>
  <c r="L10" i="6"/>
  <c r="N10" i="6" s="1"/>
  <c r="L7" i="6"/>
  <c r="N7" i="6" s="1"/>
  <c r="M24" i="6"/>
  <c r="M18" i="6"/>
  <c r="L24" i="6"/>
  <c r="N24" i="6" s="1"/>
  <c r="L18" i="6"/>
  <c r="N18" i="6" s="1"/>
  <c r="M23" i="6"/>
  <c r="M17" i="6"/>
  <c r="L17" i="6"/>
  <c r="N17" i="6" s="1"/>
  <c r="L23" i="6"/>
  <c r="N23" i="6" s="1"/>
  <c r="L26" i="6"/>
  <c r="N26" i="6" s="1"/>
  <c r="L20" i="6"/>
  <c r="N20" i="6" s="1"/>
  <c r="L14" i="6"/>
  <c r="N14" i="6" s="1"/>
  <c r="L27" i="6"/>
  <c r="N27" i="6" s="1"/>
  <c r="L22" i="6"/>
  <c r="N22" i="6" s="1"/>
  <c r="L19" i="6"/>
  <c r="N19" i="6" s="1"/>
  <c r="M22" i="6"/>
  <c r="M26" i="6"/>
  <c r="M21" i="6"/>
  <c r="M16" i="6"/>
  <c r="L13" i="6"/>
  <c r="N13" i="6" s="1"/>
  <c r="M25" i="6"/>
  <c r="L21" i="6"/>
  <c r="N21" i="6" s="1"/>
  <c r="L16" i="6"/>
  <c r="N16" i="6" s="1"/>
  <c r="L25" i="6"/>
  <c r="N25" i="6" s="1"/>
  <c r="M20" i="6"/>
  <c r="M15" i="6"/>
  <c r="M19" i="6"/>
  <c r="L15" i="6"/>
  <c r="N15" i="6" s="1"/>
  <c r="M14" i="6"/>
  <c r="M13" i="6"/>
  <c r="M27" i="6"/>
  <c r="V20" i="6"/>
  <c r="X20" i="6" s="1"/>
  <c r="V25" i="6"/>
  <c r="X25" i="6" s="1"/>
  <c r="V21" i="6"/>
  <c r="X21" i="6" s="1"/>
  <c r="V16" i="6"/>
  <c r="X16" i="6" s="1"/>
  <c r="W20" i="6"/>
  <c r="W25" i="6"/>
  <c r="W16" i="6"/>
  <c r="W21" i="6"/>
  <c r="V26" i="6"/>
  <c r="X26" i="6" s="1"/>
  <c r="W19" i="6"/>
  <c r="W27" i="6"/>
  <c r="W13" i="6"/>
  <c r="V14" i="6"/>
  <c r="X14" i="6" s="1"/>
  <c r="V22" i="6"/>
  <c r="X22" i="6" s="1"/>
  <c r="W14" i="6"/>
  <c r="V15" i="6"/>
  <c r="X15" i="6" s="1"/>
  <c r="W22" i="6"/>
  <c r="W15" i="6"/>
  <c r="V23" i="6"/>
  <c r="X23" i="6" s="1"/>
  <c r="V17" i="6"/>
  <c r="X17" i="6" s="1"/>
  <c r="V13" i="6"/>
  <c r="X13" i="6" s="1"/>
  <c r="W26" i="6"/>
  <c r="W17" i="6"/>
  <c r="V19" i="6"/>
  <c r="X19" i="6" s="1"/>
  <c r="V18" i="6"/>
  <c r="X18" i="6" s="1"/>
  <c r="W18" i="6"/>
  <c r="W23" i="6"/>
  <c r="V24" i="6"/>
  <c r="X24" i="6" s="1"/>
  <c r="W24" i="6"/>
  <c r="V27" i="6"/>
  <c r="X27" i="6" s="1"/>
  <c r="J5" i="5"/>
  <c r="J52" i="5"/>
  <c r="J18" i="5"/>
  <c r="J39" i="5"/>
  <c r="P18" i="5"/>
  <c r="D52" i="5"/>
  <c r="P52" i="5"/>
  <c r="P39" i="5"/>
  <c r="J27" i="4"/>
  <c r="H26" i="2"/>
  <c r="K26" i="2" s="1"/>
  <c r="H27" i="2"/>
  <c r="K27" i="2" s="1"/>
  <c r="I27" i="2"/>
  <c r="J27" i="2" s="1"/>
  <c r="J25" i="4"/>
  <c r="H28" i="2"/>
  <c r="K28" i="2" s="1"/>
  <c r="I26" i="2"/>
  <c r="J26" i="2" s="1"/>
  <c r="J28" i="4"/>
  <c r="J26" i="4"/>
  <c r="H25" i="2"/>
  <c r="K25" i="2" s="1"/>
  <c r="I28" i="2"/>
  <c r="J28" i="2" s="1"/>
  <c r="I25" i="2"/>
  <c r="J25" i="2" s="1"/>
  <c r="C11" i="2"/>
  <c r="D11" i="2" s="1"/>
  <c r="B6" i="2"/>
  <c r="E6" i="2" s="1"/>
  <c r="B8" i="2"/>
  <c r="E8" i="2" s="1"/>
  <c r="C8" i="2"/>
  <c r="D8" i="2" s="1"/>
  <c r="B10" i="2"/>
  <c r="E10" i="2" s="1"/>
  <c r="C7" i="2"/>
  <c r="D7" i="2" s="1"/>
  <c r="D7" i="4"/>
  <c r="D11" i="4"/>
  <c r="B5" i="2"/>
  <c r="E5" i="2" s="1"/>
  <c r="D6" i="4"/>
  <c r="C12" i="2"/>
  <c r="D12" i="2" s="1"/>
  <c r="C9" i="2"/>
  <c r="D9" i="2" s="1"/>
  <c r="B11" i="2"/>
  <c r="E11" i="2" s="1"/>
  <c r="D8" i="4"/>
  <c r="C6" i="2"/>
  <c r="D6" i="2" s="1"/>
  <c r="D12" i="4"/>
  <c r="D9" i="4"/>
  <c r="D10" i="4"/>
  <c r="B9" i="2"/>
  <c r="E9" i="2" s="1"/>
  <c r="B12" i="2"/>
  <c r="E12" i="2" s="1"/>
  <c r="C10" i="2"/>
  <c r="D10" i="2" s="1"/>
  <c r="D5" i="4"/>
  <c r="C5" i="2"/>
  <c r="D5" i="2" s="1"/>
  <c r="B7" i="2"/>
  <c r="E7" i="2" s="1"/>
  <c r="N12" i="2"/>
  <c r="Q12" i="2" s="1"/>
  <c r="O17" i="2"/>
  <c r="N15" i="2"/>
  <c r="Q15" i="2" s="1"/>
  <c r="O20" i="2"/>
  <c r="N18" i="2"/>
  <c r="Q18" i="2" s="1"/>
  <c r="O16" i="2"/>
  <c r="P19" i="4"/>
  <c r="P18" i="4"/>
  <c r="P16" i="4"/>
  <c r="O10" i="2"/>
  <c r="P10" i="2" s="1"/>
  <c r="P17" i="4"/>
  <c r="P15" i="4"/>
  <c r="N9" i="2"/>
  <c r="Q9" i="2" s="1"/>
  <c r="O18" i="2"/>
  <c r="O12" i="2"/>
  <c r="P11" i="4"/>
  <c r="N17" i="2"/>
  <c r="Q17" i="2" s="1"/>
  <c r="O13" i="2"/>
  <c r="P20" i="4"/>
  <c r="O15" i="2"/>
  <c r="P12" i="4"/>
  <c r="O14" i="2"/>
  <c r="N20" i="2"/>
  <c r="Q20" i="2" s="1"/>
  <c r="N14" i="2"/>
  <c r="Q14" i="2" s="1"/>
  <c r="N10" i="2"/>
  <c r="Q10" i="2" s="1"/>
  <c r="O19" i="2"/>
  <c r="O9" i="2"/>
  <c r="P9" i="2" s="1"/>
  <c r="P14" i="4"/>
  <c r="N19" i="2"/>
  <c r="Q19" i="2" s="1"/>
  <c r="O11" i="2"/>
  <c r="N16" i="2"/>
  <c r="Q16" i="2" s="1"/>
  <c r="N11" i="2"/>
  <c r="Q11" i="2" s="1"/>
  <c r="N13" i="2"/>
  <c r="Q13" i="2" s="1"/>
  <c r="P13" i="4"/>
  <c r="P10" i="4"/>
  <c r="P9" i="4"/>
  <c r="P31" i="4"/>
  <c r="N39" i="2"/>
  <c r="Q39" i="2" s="1"/>
  <c r="N31" i="2"/>
  <c r="Q31" i="2" s="1"/>
  <c r="O34" i="2"/>
  <c r="O38" i="2"/>
  <c r="N34" i="2"/>
  <c r="Q34" i="2" s="1"/>
  <c r="P35" i="4"/>
  <c r="P36" i="4"/>
  <c r="O35" i="2"/>
  <c r="P40" i="4"/>
  <c r="O29" i="2"/>
  <c r="P29" i="2" s="1"/>
  <c r="P39" i="4"/>
  <c r="P34" i="4"/>
  <c r="O31" i="2"/>
  <c r="N32" i="2"/>
  <c r="Q32" i="2" s="1"/>
  <c r="O39" i="2"/>
  <c r="N35" i="2"/>
  <c r="Q35" i="2" s="1"/>
  <c r="P33" i="4"/>
  <c r="O37" i="2"/>
  <c r="N37" i="2"/>
  <c r="Q37" i="2" s="1"/>
  <c r="P29" i="4"/>
  <c r="O40" i="2"/>
  <c r="P32" i="4"/>
  <c r="O30" i="2"/>
  <c r="P30" i="2" s="1"/>
  <c r="N40" i="2"/>
  <c r="Q40" i="2" s="1"/>
  <c r="P30" i="4"/>
  <c r="O32" i="2"/>
  <c r="N38" i="2"/>
  <c r="Q38" i="2" s="1"/>
  <c r="P37" i="4"/>
  <c r="O36" i="2"/>
  <c r="N36" i="2"/>
  <c r="Q36" i="2" s="1"/>
  <c r="O33" i="2"/>
  <c r="N33" i="2"/>
  <c r="Q33" i="2" s="1"/>
  <c r="N30" i="2"/>
  <c r="Q30" i="2" s="1"/>
  <c r="P38" i="4"/>
  <c r="N29" i="2"/>
  <c r="Q29" i="2" s="1"/>
  <c r="N25" i="2"/>
  <c r="Q25" i="2" s="1"/>
  <c r="P27" i="4"/>
  <c r="O25" i="2"/>
  <c r="P25" i="2" s="1"/>
  <c r="N28" i="2"/>
  <c r="Q28" i="2" s="1"/>
  <c r="N27" i="2"/>
  <c r="Q27" i="2" s="1"/>
  <c r="O28" i="2"/>
  <c r="P28" i="2" s="1"/>
  <c r="O27" i="2"/>
  <c r="P27" i="2" s="1"/>
  <c r="N26" i="2"/>
  <c r="Q26" i="2" s="1"/>
  <c r="P28" i="4"/>
  <c r="O26" i="2"/>
  <c r="P26" i="2" s="1"/>
  <c r="P25" i="4"/>
  <c r="P26" i="4"/>
  <c r="D31" i="4"/>
  <c r="C33" i="2"/>
  <c r="D40" i="4"/>
  <c r="C35" i="2"/>
  <c r="C37" i="2"/>
  <c r="B35" i="2"/>
  <c r="E35" i="2" s="1"/>
  <c r="C40" i="2"/>
  <c r="B33" i="2"/>
  <c r="E33" i="2" s="1"/>
  <c r="C29" i="2"/>
  <c r="D29" i="2" s="1"/>
  <c r="D38" i="4"/>
  <c r="C32" i="2"/>
  <c r="D36" i="4"/>
  <c r="B32" i="2"/>
  <c r="E32" i="2" s="1"/>
  <c r="B29" i="2"/>
  <c r="E29" i="2" s="1"/>
  <c r="D30" i="4"/>
  <c r="D29" i="4"/>
  <c r="B39" i="2"/>
  <c r="E39" i="2" s="1"/>
  <c r="B38" i="2"/>
  <c r="E38" i="2" s="1"/>
  <c r="D37" i="4"/>
  <c r="C34" i="2"/>
  <c r="B36" i="2"/>
  <c r="E36" i="2" s="1"/>
  <c r="C39" i="2"/>
  <c r="D33" i="4"/>
  <c r="D34" i="4"/>
  <c r="C38" i="2"/>
  <c r="D35" i="4"/>
  <c r="C30" i="2"/>
  <c r="B40" i="2"/>
  <c r="E40" i="2" s="1"/>
  <c r="D32" i="4"/>
  <c r="B34" i="2"/>
  <c r="E34" i="2" s="1"/>
  <c r="B37" i="2"/>
  <c r="E37" i="2" s="1"/>
  <c r="C31" i="2"/>
  <c r="B31" i="2"/>
  <c r="E31" i="2" s="1"/>
  <c r="D39" i="4"/>
  <c r="B30" i="2"/>
  <c r="E30" i="2" s="1"/>
  <c r="C36" i="2"/>
  <c r="H37" i="2"/>
  <c r="K37" i="2" s="1"/>
  <c r="H29" i="2"/>
  <c r="K29" i="2" s="1"/>
  <c r="J31" i="4"/>
  <c r="I29" i="2"/>
  <c r="J29" i="2" s="1"/>
  <c r="J40" i="4"/>
  <c r="J33" i="4"/>
  <c r="H32" i="2"/>
  <c r="K32" i="2" s="1"/>
  <c r="I31" i="2"/>
  <c r="I34" i="2"/>
  <c r="J37" i="4"/>
  <c r="H34" i="2"/>
  <c r="K34" i="2" s="1"/>
  <c r="J29" i="4"/>
  <c r="H30" i="2"/>
  <c r="K30" i="2" s="1"/>
  <c r="J35" i="4"/>
  <c r="J30" i="4"/>
  <c r="I40" i="2"/>
  <c r="J39" i="4"/>
  <c r="I37" i="2"/>
  <c r="J34" i="4"/>
  <c r="J36" i="4"/>
  <c r="I38" i="2"/>
  <c r="J38" i="4"/>
  <c r="H38" i="2"/>
  <c r="K38" i="2" s="1"/>
  <c r="H33" i="2"/>
  <c r="K33" i="2" s="1"/>
  <c r="J32" i="4"/>
  <c r="H36" i="2"/>
  <c r="K36" i="2" s="1"/>
  <c r="I36" i="2"/>
  <c r="I35" i="2"/>
  <c r="H40" i="2"/>
  <c r="K40" i="2" s="1"/>
  <c r="I39" i="2"/>
  <c r="I32" i="2"/>
  <c r="I30" i="2"/>
  <c r="H35" i="2"/>
  <c r="K35" i="2" s="1"/>
  <c r="H39" i="2"/>
  <c r="K39" i="2" s="1"/>
  <c r="H31" i="2"/>
  <c r="K31" i="2" s="1"/>
  <c r="I33" i="2"/>
  <c r="O6" i="2"/>
  <c r="P6" i="2" s="1"/>
  <c r="P8" i="4"/>
  <c r="N5" i="2"/>
  <c r="Q5" i="2" s="1"/>
  <c r="N7" i="2"/>
  <c r="Q7" i="2" s="1"/>
  <c r="P7" i="4"/>
  <c r="N6" i="2"/>
  <c r="Q6" i="2" s="1"/>
  <c r="O7" i="2"/>
  <c r="P7" i="2" s="1"/>
  <c r="N8" i="2"/>
  <c r="Q8" i="2" s="1"/>
  <c r="O5" i="2"/>
  <c r="P5" i="2" s="1"/>
  <c r="P6" i="4"/>
  <c r="P5" i="4"/>
  <c r="O8" i="2"/>
  <c r="P8" i="2" s="1"/>
  <c r="C20" i="2"/>
  <c r="C17" i="2"/>
  <c r="D16" i="4"/>
  <c r="D15" i="4"/>
  <c r="B19" i="2"/>
  <c r="E19" i="2" s="1"/>
  <c r="B16" i="2"/>
  <c r="E16" i="2" s="1"/>
  <c r="B17" i="2"/>
  <c r="E17" i="2" s="1"/>
  <c r="B13" i="2"/>
  <c r="E13" i="2" s="1"/>
  <c r="D14" i="4"/>
  <c r="D13" i="4"/>
  <c r="C14" i="2"/>
  <c r="B14" i="2"/>
  <c r="E14" i="2" s="1"/>
  <c r="B15" i="2"/>
  <c r="E15" i="2" s="1"/>
  <c r="D18" i="4"/>
  <c r="C13" i="2"/>
  <c r="D17" i="4"/>
  <c r="C18" i="2"/>
  <c r="D19" i="4"/>
  <c r="B18" i="2"/>
  <c r="E18" i="2" s="1"/>
  <c r="D20" i="4"/>
  <c r="C15" i="2"/>
  <c r="B20" i="2"/>
  <c r="E20" i="2" s="1"/>
  <c r="C16" i="2"/>
  <c r="C19" i="2"/>
  <c r="J20" i="4"/>
  <c r="J17" i="4"/>
  <c r="I19" i="2"/>
  <c r="J16" i="4"/>
  <c r="I10" i="2"/>
  <c r="I18" i="2"/>
  <c r="I15" i="2"/>
  <c r="I13" i="2"/>
  <c r="H9" i="2"/>
  <c r="K9" i="2" s="1"/>
  <c r="J19" i="4"/>
  <c r="I9" i="2"/>
  <c r="H18" i="2"/>
  <c r="K18" i="2" s="1"/>
  <c r="I16" i="2"/>
  <c r="H20" i="2"/>
  <c r="K20" i="2" s="1"/>
  <c r="J14" i="4"/>
  <c r="J18" i="4"/>
  <c r="J15" i="4"/>
  <c r="J11" i="4"/>
  <c r="H16" i="2"/>
  <c r="K16" i="2" s="1"/>
  <c r="I12" i="2"/>
  <c r="H10" i="2"/>
  <c r="K10" i="2" s="1"/>
  <c r="H12" i="2"/>
  <c r="K12" i="2" s="1"/>
  <c r="H17" i="2"/>
  <c r="K17" i="2" s="1"/>
  <c r="H19" i="2"/>
  <c r="K19" i="2" s="1"/>
  <c r="J12" i="4"/>
  <c r="I14" i="2"/>
  <c r="J13" i="4"/>
  <c r="H15" i="2"/>
  <c r="K15" i="2" s="1"/>
  <c r="I11" i="2"/>
  <c r="J10" i="4"/>
  <c r="H11" i="2"/>
  <c r="K11" i="2" s="1"/>
  <c r="J9" i="4"/>
  <c r="H14" i="2"/>
  <c r="K14" i="2" s="1"/>
  <c r="H13" i="2"/>
  <c r="K13" i="2" s="1"/>
  <c r="I20" i="2"/>
  <c r="I17" i="2"/>
  <c r="H8" i="2"/>
  <c r="K8" i="2" s="1"/>
  <c r="I8" i="2"/>
  <c r="J8" i="2" s="1"/>
  <c r="J7" i="4"/>
  <c r="J8" i="4"/>
  <c r="I5" i="2"/>
  <c r="J5" i="2" s="1"/>
  <c r="I6" i="2"/>
  <c r="J6" i="2" s="1"/>
  <c r="I7" i="2"/>
  <c r="J7" i="2" s="1"/>
  <c r="J6" i="4"/>
  <c r="H7" i="2"/>
  <c r="K7" i="2" s="1"/>
  <c r="H5" i="2"/>
  <c r="K5" i="2" s="1"/>
  <c r="H6" i="2"/>
  <c r="K6" i="2" s="1"/>
  <c r="J5" i="4"/>
  <c r="D28" i="4"/>
  <c r="D26" i="4"/>
  <c r="C26" i="2"/>
  <c r="D26" i="2" s="1"/>
  <c r="C28" i="2"/>
  <c r="D28" i="2" s="1"/>
  <c r="D27" i="4"/>
  <c r="D25" i="4"/>
  <c r="C25" i="2"/>
  <c r="D25" i="2" s="1"/>
  <c r="B27" i="2"/>
  <c r="E27" i="2" s="1"/>
  <c r="B25" i="2"/>
  <c r="E25" i="2" s="1"/>
  <c r="C27" i="2"/>
  <c r="D27" i="2" s="1"/>
  <c r="B26" i="2"/>
  <c r="E26" i="2" s="1"/>
  <c r="B28" i="2"/>
  <c r="E28" i="2" s="1"/>
  <c r="O65" i="4"/>
  <c r="P65" i="4" s="1"/>
  <c r="O66" i="4"/>
  <c r="P66" i="4" s="1"/>
  <c r="N68" i="4"/>
  <c r="Q68" i="4" s="1"/>
  <c r="N65" i="4"/>
  <c r="Q65" i="4" s="1"/>
  <c r="O68" i="4"/>
  <c r="P68" i="4" s="1"/>
  <c r="H67" i="4"/>
  <c r="K67" i="4" s="1"/>
  <c r="J68" i="2"/>
  <c r="H68" i="4"/>
  <c r="K68" i="4" s="1"/>
  <c r="J66" i="2"/>
  <c r="I65" i="4"/>
  <c r="J65" i="4" s="1"/>
  <c r="I68" i="4"/>
  <c r="J68" i="4" s="1"/>
  <c r="H65" i="4"/>
  <c r="K65" i="4" s="1"/>
  <c r="H66" i="4"/>
  <c r="K66" i="4" s="1"/>
  <c r="J65" i="2"/>
  <c r="J67" i="2"/>
  <c r="I66" i="4"/>
  <c r="J66" i="4" s="1"/>
  <c r="I67" i="4"/>
  <c r="J67" i="4" s="1"/>
  <c r="D71" i="2"/>
  <c r="D70" i="2"/>
  <c r="D69" i="2"/>
  <c r="J73" i="2"/>
  <c r="J77" i="2"/>
  <c r="J80" i="2"/>
  <c r="J69" i="2"/>
  <c r="J71" i="2"/>
  <c r="J70" i="2"/>
  <c r="J72" i="2"/>
  <c r="J74" i="2"/>
  <c r="J78" i="2"/>
  <c r="J75" i="2"/>
  <c r="J76" i="2"/>
  <c r="J79" i="2"/>
  <c r="P58" i="2"/>
  <c r="P57" i="2"/>
  <c r="P52" i="2"/>
  <c r="P50" i="2"/>
  <c r="P49" i="2"/>
  <c r="P51" i="2"/>
  <c r="P60" i="2"/>
  <c r="P54" i="2"/>
  <c r="P59" i="2"/>
  <c r="P55" i="2"/>
  <c r="P56" i="2"/>
  <c r="P53" i="2"/>
  <c r="J49" i="2"/>
  <c r="J60" i="2"/>
  <c r="J50" i="2"/>
  <c r="J54" i="2"/>
  <c r="J57" i="2"/>
  <c r="J51" i="2"/>
  <c r="D47" i="4"/>
  <c r="D48" i="4"/>
  <c r="P80" i="2"/>
  <c r="P79" i="2"/>
  <c r="P78" i="2"/>
  <c r="P71" i="2"/>
  <c r="P76" i="2"/>
  <c r="P74" i="2"/>
  <c r="P73" i="2"/>
  <c r="P70" i="2"/>
  <c r="P69" i="2"/>
  <c r="P75" i="2"/>
  <c r="I75" i="4"/>
  <c r="J75" i="4" s="1"/>
  <c r="O57" i="4"/>
  <c r="P57" i="4" s="1"/>
  <c r="H71" i="4"/>
  <c r="K71" i="4" s="1"/>
  <c r="I79" i="4"/>
  <c r="J79" i="4" s="1"/>
  <c r="O60" i="4"/>
  <c r="P60" i="4" s="1"/>
  <c r="O80" i="4"/>
  <c r="P80" i="4" s="1"/>
  <c r="O78" i="4"/>
  <c r="P78" i="4" s="1"/>
  <c r="O76" i="4"/>
  <c r="P76" i="4" s="1"/>
  <c r="O79" i="4"/>
  <c r="P79" i="4" s="1"/>
  <c r="O77" i="4"/>
  <c r="P77" i="4" s="1"/>
  <c r="O75" i="4"/>
  <c r="P75" i="4" s="1"/>
  <c r="N79" i="4"/>
  <c r="Q79" i="4" s="1"/>
  <c r="N77" i="4"/>
  <c r="Q77" i="4" s="1"/>
  <c r="N75" i="4"/>
  <c r="Q75" i="4" s="1"/>
  <c r="O73" i="4"/>
  <c r="P73" i="4" s="1"/>
  <c r="O71" i="4"/>
  <c r="P71" i="4" s="1"/>
  <c r="O69" i="4"/>
  <c r="P69" i="4" s="1"/>
  <c r="N72" i="4"/>
  <c r="Q72" i="4" s="1"/>
  <c r="N71" i="4"/>
  <c r="Q71" i="4" s="1"/>
  <c r="N78" i="4"/>
  <c r="Q78" i="4" s="1"/>
  <c r="O74" i="4"/>
  <c r="P74" i="4" s="1"/>
  <c r="O70" i="4"/>
  <c r="P70" i="4" s="1"/>
  <c r="N74" i="4"/>
  <c r="Q74" i="4" s="1"/>
  <c r="N70" i="4"/>
  <c r="Q70" i="4" s="1"/>
  <c r="N73" i="4"/>
  <c r="Q73" i="4" s="1"/>
  <c r="N69" i="4"/>
  <c r="Q69" i="4" s="1"/>
  <c r="N80" i="4"/>
  <c r="Q80" i="4" s="1"/>
  <c r="N76" i="4"/>
  <c r="Q76" i="4" s="1"/>
  <c r="O72" i="4"/>
  <c r="P72" i="4" s="1"/>
  <c r="N50" i="4"/>
  <c r="Q50" i="4" s="1"/>
  <c r="O59" i="4"/>
  <c r="P59" i="4" s="1"/>
  <c r="N49" i="4"/>
  <c r="Q49" i="4" s="1"/>
  <c r="N52" i="4"/>
  <c r="Q52" i="4" s="1"/>
  <c r="O55" i="4"/>
  <c r="P55" i="4" s="1"/>
  <c r="N51" i="4"/>
  <c r="Q51" i="4" s="1"/>
  <c r="O54" i="4"/>
  <c r="P54" i="4" s="1"/>
  <c r="N54" i="4"/>
  <c r="Q54" i="4" s="1"/>
  <c r="N57" i="4"/>
  <c r="Q57" i="4" s="1"/>
  <c r="O50" i="4"/>
  <c r="P50" i="4" s="1"/>
  <c r="N56" i="4"/>
  <c r="Q56" i="4" s="1"/>
  <c r="N59" i="4"/>
  <c r="Q59" i="4" s="1"/>
  <c r="O51" i="4"/>
  <c r="P51" i="4" s="1"/>
  <c r="I77" i="4"/>
  <c r="J77" i="4" s="1"/>
  <c r="H79" i="4"/>
  <c r="K79" i="4" s="1"/>
  <c r="N53" i="4"/>
  <c r="Q53" i="4" s="1"/>
  <c r="H80" i="4"/>
  <c r="K80" i="4" s="1"/>
  <c r="H76" i="4"/>
  <c r="K76" i="4" s="1"/>
  <c r="I78" i="4"/>
  <c r="J78" i="4" s="1"/>
  <c r="H78" i="4"/>
  <c r="K78" i="4" s="1"/>
  <c r="H77" i="4"/>
  <c r="K77" i="4" s="1"/>
  <c r="I73" i="4"/>
  <c r="J73" i="4" s="1"/>
  <c r="I69" i="4"/>
  <c r="J69" i="4" s="1"/>
  <c r="H73" i="4"/>
  <c r="K73" i="4" s="1"/>
  <c r="H69" i="4"/>
  <c r="K69" i="4" s="1"/>
  <c r="I80" i="4"/>
  <c r="J80" i="4" s="1"/>
  <c r="I76" i="4"/>
  <c r="J76" i="4" s="1"/>
  <c r="H75" i="4"/>
  <c r="K75" i="4" s="1"/>
  <c r="O56" i="4"/>
  <c r="P56" i="4" s="1"/>
  <c r="H70" i="4"/>
  <c r="K70" i="4" s="1"/>
  <c r="N58" i="4"/>
  <c r="Q58" i="4" s="1"/>
  <c r="H72" i="4"/>
  <c r="K72" i="4" s="1"/>
  <c r="C73" i="4"/>
  <c r="D73" i="4" s="1"/>
  <c r="C71" i="4"/>
  <c r="D71" i="4" s="1"/>
  <c r="C69" i="4"/>
  <c r="D69" i="4" s="1"/>
  <c r="C80" i="4"/>
  <c r="D80" i="4" s="1"/>
  <c r="C78" i="4"/>
  <c r="D78" i="4" s="1"/>
  <c r="C76" i="4"/>
  <c r="D76" i="4" s="1"/>
  <c r="B80" i="4"/>
  <c r="E80" i="4" s="1"/>
  <c r="B78" i="4"/>
  <c r="E78" i="4" s="1"/>
  <c r="B76" i="4"/>
  <c r="E76" i="4" s="1"/>
  <c r="C74" i="4"/>
  <c r="D74" i="4" s="1"/>
  <c r="C72" i="4"/>
  <c r="D72" i="4" s="1"/>
  <c r="C70" i="4"/>
  <c r="D70" i="4" s="1"/>
  <c r="B74" i="4"/>
  <c r="E74" i="4" s="1"/>
  <c r="B72" i="4"/>
  <c r="E72" i="4" s="1"/>
  <c r="B70" i="4"/>
  <c r="E70" i="4" s="1"/>
  <c r="C79" i="4"/>
  <c r="D79" i="4" s="1"/>
  <c r="C75" i="4"/>
  <c r="D75" i="4" s="1"/>
  <c r="B79" i="4"/>
  <c r="E79" i="4" s="1"/>
  <c r="B75" i="4"/>
  <c r="E75" i="4" s="1"/>
  <c r="B71" i="4"/>
  <c r="E71" i="4" s="1"/>
  <c r="C77" i="4"/>
  <c r="D77" i="4" s="1"/>
  <c r="B77" i="4"/>
  <c r="E77" i="4" s="1"/>
  <c r="B69" i="4"/>
  <c r="E69" i="4" s="1"/>
  <c r="B73" i="4"/>
  <c r="E73" i="4" s="1"/>
  <c r="O53" i="4"/>
  <c r="P53" i="4" s="1"/>
  <c r="H74" i="4"/>
  <c r="K74" i="4" s="1"/>
  <c r="I54" i="4"/>
  <c r="J54" i="4" s="1"/>
  <c r="I50" i="4"/>
  <c r="J50" i="4" s="1"/>
  <c r="H50" i="4"/>
  <c r="K50" i="4" s="1"/>
  <c r="I55" i="4"/>
  <c r="J55" i="4" s="1"/>
  <c r="I60" i="4"/>
  <c r="J60" i="4" s="1"/>
  <c r="H55" i="4"/>
  <c r="K55" i="4" s="1"/>
  <c r="H60" i="4"/>
  <c r="K60" i="4" s="1"/>
  <c r="I58" i="4"/>
  <c r="J58" i="4" s="1"/>
  <c r="I53" i="4"/>
  <c r="J53" i="4" s="1"/>
  <c r="H57" i="4"/>
  <c r="K57" i="4" s="1"/>
  <c r="I56" i="4"/>
  <c r="J56" i="4" s="1"/>
  <c r="H53" i="4"/>
  <c r="K53" i="4" s="1"/>
  <c r="H56" i="4"/>
  <c r="K56" i="4" s="1"/>
  <c r="I59" i="4"/>
  <c r="J59" i="4" s="1"/>
  <c r="I49" i="4"/>
  <c r="J49" i="4" s="1"/>
  <c r="H59" i="4"/>
  <c r="K59" i="4" s="1"/>
  <c r="I52" i="4"/>
  <c r="J52" i="4" s="1"/>
  <c r="H49" i="4"/>
  <c r="K49" i="4" s="1"/>
  <c r="H52" i="4"/>
  <c r="K52" i="4" s="1"/>
  <c r="H58" i="4"/>
  <c r="K58" i="4" s="1"/>
  <c r="I51" i="4"/>
  <c r="J51" i="4" s="1"/>
  <c r="H51" i="4"/>
  <c r="K51" i="4" s="1"/>
  <c r="H54" i="4"/>
  <c r="K54" i="4" s="1"/>
  <c r="I57" i="4"/>
  <c r="J57" i="4" s="1"/>
  <c r="I71" i="4"/>
  <c r="J71" i="4" s="1"/>
  <c r="O58" i="4"/>
  <c r="P58" i="4" s="1"/>
  <c r="I70" i="4"/>
  <c r="J70" i="4" s="1"/>
  <c r="N60" i="4"/>
  <c r="Q60" i="4" s="1"/>
  <c r="I72" i="4"/>
  <c r="J72" i="4" s="1"/>
  <c r="N55" i="4"/>
  <c r="Q55" i="4" s="1"/>
  <c r="I74" i="4"/>
  <c r="J74" i="4" s="1"/>
  <c r="O49" i="4"/>
  <c r="P49" i="4" s="1"/>
  <c r="O52" i="4"/>
  <c r="P52" i="4" s="1"/>
  <c r="P72" i="2" l="1"/>
  <c r="J56" i="2"/>
  <c r="J59" i="2"/>
  <c r="J52" i="2"/>
  <c r="J53" i="2"/>
  <c r="J58" i="2"/>
  <c r="J55" i="2"/>
  <c r="P77" i="2"/>
  <c r="D73" i="2"/>
  <c r="D72" i="2"/>
  <c r="J30" i="2"/>
  <c r="P31" i="2"/>
  <c r="D30" i="2"/>
  <c r="D17" i="2" l="1"/>
  <c r="D16" i="2"/>
  <c r="D19" i="2"/>
  <c r="D20" i="2"/>
  <c r="D18" i="2"/>
  <c r="P11" i="2"/>
  <c r="D79" i="2"/>
  <c r="D78" i="2"/>
  <c r="D74" i="2"/>
  <c r="D76" i="2"/>
  <c r="D80" i="2"/>
  <c r="D77" i="2"/>
  <c r="D49" i="2"/>
  <c r="D48" i="2"/>
  <c r="D75" i="2"/>
  <c r="D31" i="2"/>
  <c r="P32" i="2"/>
  <c r="P33" i="2"/>
  <c r="J31" i="2"/>
  <c r="P12" i="2" l="1"/>
  <c r="D32" i="2"/>
  <c r="D51" i="2"/>
  <c r="D50" i="2"/>
  <c r="P37" i="2"/>
  <c r="J32" i="2"/>
  <c r="J33" i="2"/>
  <c r="D15" i="2"/>
  <c r="D14" i="2"/>
  <c r="D13" i="2"/>
  <c r="P13" i="2" l="1"/>
  <c r="P36" i="2"/>
  <c r="D53" i="2"/>
  <c r="D33" i="2"/>
  <c r="P38" i="2"/>
  <c r="P35" i="2"/>
  <c r="J37" i="2"/>
  <c r="P40" i="2"/>
  <c r="P39" i="2"/>
  <c r="P34" i="2"/>
  <c r="P14" i="2" l="1"/>
  <c r="P15" i="2"/>
  <c r="D54" i="2"/>
  <c r="D52" i="2"/>
  <c r="J12" i="2"/>
  <c r="J38" i="2"/>
  <c r="J34" i="2"/>
  <c r="D40" i="2"/>
  <c r="D39" i="2"/>
  <c r="J36" i="2"/>
  <c r="D38" i="2"/>
  <c r="J35" i="2"/>
  <c r="J39" i="2"/>
  <c r="J40" i="2"/>
  <c r="D34" i="2"/>
  <c r="D35" i="2"/>
  <c r="P16" i="2" l="1"/>
  <c r="P18" i="2"/>
  <c r="P20" i="2"/>
  <c r="J11" i="2"/>
  <c r="J14" i="2"/>
  <c r="J17" i="2"/>
  <c r="J13" i="2"/>
  <c r="J10" i="2"/>
  <c r="J18" i="2"/>
  <c r="J9" i="2"/>
  <c r="J16" i="2"/>
  <c r="J19" i="2"/>
  <c r="J20" i="2"/>
  <c r="J15" i="2"/>
  <c r="D37" i="2"/>
  <c r="D36" i="2"/>
  <c r="P19" i="2" l="1"/>
  <c r="P17" i="2"/>
</calcChain>
</file>

<file path=xl/sharedStrings.xml><?xml version="1.0" encoding="utf-8"?>
<sst xmlns="http://schemas.openxmlformats.org/spreadsheetml/2006/main" count="1323" uniqueCount="203">
  <si>
    <t>車いす</t>
    <rPh sb="0" eb="1">
      <t>クルマ</t>
    </rPh>
    <phoneticPr fontId="1"/>
  </si>
  <si>
    <t>No.</t>
    <phoneticPr fontId="1"/>
  </si>
  <si>
    <t>タイプ</t>
    <phoneticPr fontId="1"/>
  </si>
  <si>
    <t>ミニ</t>
    <phoneticPr fontId="1"/>
  </si>
  <si>
    <t>コンパクト</t>
    <phoneticPr fontId="1"/>
  </si>
  <si>
    <t>KXL</t>
    <phoneticPr fontId="1"/>
  </si>
  <si>
    <t>基地</t>
    <rPh sb="0" eb="2">
      <t>キチ</t>
    </rPh>
    <phoneticPr fontId="1"/>
  </si>
  <si>
    <t>昼</t>
  </si>
  <si>
    <t>PM</t>
  </si>
  <si>
    <t>月</t>
    <rPh sb="0" eb="1">
      <t>ゲツ</t>
    </rPh>
    <phoneticPr fontId="1"/>
  </si>
  <si>
    <t>火</t>
    <rPh sb="0" eb="1">
      <t>カ</t>
    </rPh>
    <phoneticPr fontId="1"/>
  </si>
  <si>
    <t>水</t>
  </si>
  <si>
    <t>木</t>
  </si>
  <si>
    <t>金</t>
  </si>
  <si>
    <t>パターン</t>
    <phoneticPr fontId="1"/>
  </si>
  <si>
    <t>備考</t>
    <rPh sb="0" eb="2">
      <t>ビコウ</t>
    </rPh>
    <phoneticPr fontId="1"/>
  </si>
  <si>
    <t>患者</t>
    <rPh sb="0" eb="2">
      <t>カンジャ</t>
    </rPh>
    <phoneticPr fontId="1"/>
  </si>
  <si>
    <t>氏名</t>
    <rPh sb="0" eb="2">
      <t>シメイ</t>
    </rPh>
    <phoneticPr fontId="1"/>
  </si>
  <si>
    <t>部屋</t>
    <rPh sb="0" eb="2">
      <t>ヘヤ</t>
    </rPh>
    <phoneticPr fontId="1"/>
  </si>
  <si>
    <t>カワムラ</t>
    <phoneticPr fontId="1"/>
  </si>
  <si>
    <t>昼</t>
    <rPh sb="0" eb="1">
      <t>ヒル</t>
    </rPh>
    <phoneticPr fontId="1"/>
  </si>
  <si>
    <t>火木</t>
    <rPh sb="0" eb="2">
      <t>カモク</t>
    </rPh>
    <phoneticPr fontId="1"/>
  </si>
  <si>
    <t>金</t>
    <rPh sb="0" eb="1">
      <t>キン</t>
    </rPh>
    <phoneticPr fontId="1"/>
  </si>
  <si>
    <t>飯室　純江</t>
    <rPh sb="0" eb="2">
      <t>イイムロ</t>
    </rPh>
    <rPh sb="3" eb="4">
      <t>ジュン</t>
    </rPh>
    <rPh sb="4" eb="5">
      <t>エ</t>
    </rPh>
    <phoneticPr fontId="1"/>
  </si>
  <si>
    <t>佐藤　亜美</t>
    <rPh sb="0" eb="2">
      <t>サトウ</t>
    </rPh>
    <rPh sb="3" eb="5">
      <t>アミ</t>
    </rPh>
    <phoneticPr fontId="1"/>
  </si>
  <si>
    <t>PM</t>
    <phoneticPr fontId="1"/>
  </si>
  <si>
    <t>Gr</t>
    <phoneticPr fontId="1"/>
  </si>
  <si>
    <t>A</t>
    <phoneticPr fontId="1"/>
  </si>
  <si>
    <t>B</t>
    <phoneticPr fontId="1"/>
  </si>
  <si>
    <t>食事</t>
    <rPh sb="0" eb="2">
      <t>ショクジ</t>
    </rPh>
    <phoneticPr fontId="1"/>
  </si>
  <si>
    <t>車庫</t>
    <rPh sb="0" eb="2">
      <t>シャコ</t>
    </rPh>
    <phoneticPr fontId="1"/>
  </si>
  <si>
    <t>離床</t>
    <rPh sb="0" eb="2">
      <t>リショウ</t>
    </rPh>
    <phoneticPr fontId="1"/>
  </si>
  <si>
    <t>三食</t>
    <rPh sb="0" eb="1">
      <t>サン</t>
    </rPh>
    <rPh sb="1" eb="2">
      <t>ショク</t>
    </rPh>
    <phoneticPr fontId="1"/>
  </si>
  <si>
    <t>午後離床</t>
    <rPh sb="0" eb="2">
      <t>ゴゴ</t>
    </rPh>
    <rPh sb="2" eb="4">
      <t>リショウ</t>
    </rPh>
    <phoneticPr fontId="1"/>
  </si>
  <si>
    <t>午前離床</t>
    <rPh sb="0" eb="2">
      <t>ゴゼン</t>
    </rPh>
    <rPh sb="2" eb="4">
      <t>リショウ</t>
    </rPh>
    <phoneticPr fontId="1"/>
  </si>
  <si>
    <t>AM</t>
    <phoneticPr fontId="1"/>
  </si>
  <si>
    <t>月～金</t>
    <rPh sb="0" eb="1">
      <t>ゲツ</t>
    </rPh>
    <rPh sb="2" eb="3">
      <t>キン</t>
    </rPh>
    <phoneticPr fontId="1"/>
  </si>
  <si>
    <t>昼
のみ</t>
    <rPh sb="0" eb="1">
      <t>ヒル</t>
    </rPh>
    <phoneticPr fontId="1"/>
  </si>
  <si>
    <t>水</t>
    <rPh sb="0" eb="1">
      <t>スイ</t>
    </rPh>
    <phoneticPr fontId="1"/>
  </si>
  <si>
    <t>木</t>
    <rPh sb="0" eb="1">
      <t>モク</t>
    </rPh>
    <phoneticPr fontId="1"/>
  </si>
  <si>
    <t>Aグループ</t>
    <phoneticPr fontId="1"/>
  </si>
  <si>
    <t>Bグループ</t>
    <phoneticPr fontId="1"/>
  </si>
  <si>
    <t>形態</t>
    <rPh sb="0" eb="2">
      <t>ケイタイ</t>
    </rPh>
    <phoneticPr fontId="1"/>
  </si>
  <si>
    <t>三食</t>
  </si>
  <si>
    <t>共用</t>
    <rPh sb="0" eb="2">
      <t>キョウヨウ</t>
    </rPh>
    <phoneticPr fontId="1"/>
  </si>
  <si>
    <t>月19</t>
    <rPh sb="0" eb="3">
      <t>ゲツ19</t>
    </rPh>
    <phoneticPr fontId="1"/>
  </si>
  <si>
    <t>火20</t>
  </si>
  <si>
    <t>水21</t>
  </si>
  <si>
    <t>木22</t>
  </si>
  <si>
    <t>金23</t>
  </si>
  <si>
    <t>★は土日も三食離床</t>
    <rPh sb="2" eb="4">
      <t>ドニチ</t>
    </rPh>
    <rPh sb="5" eb="6">
      <t>サン</t>
    </rPh>
    <rPh sb="6" eb="7">
      <t>ショク</t>
    </rPh>
    <rPh sb="7" eb="9">
      <t>リショウ</t>
    </rPh>
    <phoneticPr fontId="1"/>
  </si>
  <si>
    <t>★は土日も三食離床患者</t>
    <rPh sb="2" eb="4">
      <t>ドニチ</t>
    </rPh>
    <rPh sb="5" eb="6">
      <t>サン</t>
    </rPh>
    <rPh sb="6" eb="7">
      <t>ショク</t>
    </rPh>
    <rPh sb="7" eb="9">
      <t>リショウ</t>
    </rPh>
    <rPh sb="9" eb="11">
      <t>カンジャ</t>
    </rPh>
    <phoneticPr fontId="1"/>
  </si>
  <si>
    <t>共用</t>
  </si>
  <si>
    <t>ミニ</t>
  </si>
  <si>
    <t>A</t>
  </si>
  <si>
    <t>KXL</t>
  </si>
  <si>
    <t>コンパクト</t>
  </si>
  <si>
    <t>三食</t>
    <rPh sb="0" eb="2">
      <t>サンショク</t>
    </rPh>
    <phoneticPr fontId="1"/>
  </si>
  <si>
    <t>ロホ私物</t>
    <rPh sb="2" eb="4">
      <t>シブツ</t>
    </rPh>
    <phoneticPr fontId="1"/>
  </si>
  <si>
    <t>★古屋　典子</t>
    <rPh sb="1" eb="3">
      <t>フルヤ</t>
    </rPh>
    <rPh sb="4" eb="6">
      <t>ノリコ</t>
    </rPh>
    <phoneticPr fontId="1"/>
  </si>
  <si>
    <t>カワムラ</t>
  </si>
  <si>
    <t>★長谷川たみ子</t>
    <rPh sb="1" eb="4">
      <t>ハセガワ</t>
    </rPh>
    <rPh sb="6" eb="7">
      <t>コ</t>
    </rPh>
    <phoneticPr fontId="1"/>
  </si>
  <si>
    <t>オアシス</t>
  </si>
  <si>
    <t>毎日</t>
    <rPh sb="0" eb="2">
      <t>マイニチ</t>
    </rPh>
    <phoneticPr fontId="1"/>
  </si>
  <si>
    <t>西山　望</t>
    <rPh sb="0" eb="2">
      <t>ニシヤマ</t>
    </rPh>
    <rPh sb="3" eb="4">
      <t>ノゾム</t>
    </rPh>
    <phoneticPr fontId="1"/>
  </si>
  <si>
    <t>AM</t>
  </si>
  <si>
    <t>亀岡　廣子</t>
    <rPh sb="0" eb="2">
      <t>カメオカ</t>
    </rPh>
    <rPh sb="3" eb="5">
      <t>ヒロコ</t>
    </rPh>
    <phoneticPr fontId="1"/>
  </si>
  <si>
    <t>専用</t>
  </si>
  <si>
    <t>望月　美希</t>
    <phoneticPr fontId="1"/>
  </si>
  <si>
    <t>↓最終更新日はここに直接◯／□と入力するだけ</t>
    <rPh sb="1" eb="6">
      <t>サイシュウコウシンビ</t>
    </rPh>
    <rPh sb="10" eb="12">
      <t>チョクセツ</t>
    </rPh>
    <rPh sb="16" eb="18">
      <t>ニュウリョク</t>
    </rPh>
    <phoneticPr fontId="1"/>
  </si>
  <si>
    <t>夜</t>
    <rPh sb="0" eb="1">
      <t>ヨル</t>
    </rPh>
    <phoneticPr fontId="1"/>
  </si>
  <si>
    <t>食事時</t>
    <rPh sb="0" eb="3">
      <t>ショクジジ</t>
    </rPh>
    <phoneticPr fontId="1"/>
  </si>
  <si>
    <t>午前・午後離床</t>
    <rPh sb="0" eb="2">
      <t>ゴゼン</t>
    </rPh>
    <rPh sb="3" eb="5">
      <t>ゴゴ</t>
    </rPh>
    <rPh sb="5" eb="7">
      <t>リショウ</t>
    </rPh>
    <phoneticPr fontId="1"/>
  </si>
  <si>
    <t>木am</t>
    <phoneticPr fontId="1"/>
  </si>
  <si>
    <t>月am</t>
    <rPh sb="0" eb="1">
      <t>ツキ</t>
    </rPh>
    <phoneticPr fontId="1"/>
  </si>
  <si>
    <t>火am</t>
    <phoneticPr fontId="1"/>
  </si>
  <si>
    <t>水am</t>
    <phoneticPr fontId="1"/>
  </si>
  <si>
    <t>金am</t>
    <phoneticPr fontId="1"/>
  </si>
  <si>
    <t>月pm</t>
    <rPh sb="0" eb="1">
      <t>ツキ</t>
    </rPh>
    <phoneticPr fontId="1"/>
  </si>
  <si>
    <t>火pm</t>
    <phoneticPr fontId="1"/>
  </si>
  <si>
    <t>水pm</t>
    <phoneticPr fontId="1"/>
  </si>
  <si>
    <t>木pm</t>
    <phoneticPr fontId="1"/>
  </si>
  <si>
    <t>金pm</t>
    <phoneticPr fontId="1"/>
  </si>
  <si>
    <t>三食r</t>
    <rPh sb="0" eb="1">
      <t>サンショク12</t>
    </rPh>
    <phoneticPr fontId="1"/>
  </si>
  <si>
    <t>昼r</t>
    <rPh sb="0" eb="1">
      <t>ヒル</t>
    </rPh>
    <phoneticPr fontId="1"/>
  </si>
  <si>
    <t>夜r</t>
    <rPh sb="0" eb="1">
      <t>ヨル</t>
    </rPh>
    <phoneticPr fontId="1"/>
  </si>
  <si>
    <t>月ra</t>
    <rPh sb="0" eb="1">
      <t>ツキ</t>
    </rPh>
    <phoneticPr fontId="1"/>
  </si>
  <si>
    <t>火ra</t>
    <phoneticPr fontId="1"/>
  </si>
  <si>
    <t>水ra</t>
    <phoneticPr fontId="1"/>
  </si>
  <si>
    <t>木ra</t>
    <phoneticPr fontId="1"/>
  </si>
  <si>
    <t>金ra</t>
    <phoneticPr fontId="1"/>
  </si>
  <si>
    <t>食事順</t>
    <rPh sb="0" eb="2">
      <t>ショクジ</t>
    </rPh>
    <rPh sb="2" eb="3">
      <t>ジュン</t>
    </rPh>
    <phoneticPr fontId="1"/>
  </si>
  <si>
    <t>午前離床順</t>
    <rPh sb="0" eb="4">
      <t>ゴゼンリショウ</t>
    </rPh>
    <rPh sb="4" eb="5">
      <t>ジュン</t>
    </rPh>
    <phoneticPr fontId="1"/>
  </si>
  <si>
    <t>午後離床順</t>
    <rPh sb="0" eb="4">
      <t>ゴゴリショウ</t>
    </rPh>
    <rPh sb="4" eb="5">
      <t>ジュン</t>
    </rPh>
    <phoneticPr fontId="1"/>
  </si>
  <si>
    <t>夜
のみ</t>
    <rPh sb="0" eb="1">
      <t>ヨル</t>
    </rPh>
    <phoneticPr fontId="1"/>
  </si>
  <si>
    <t>火am</t>
  </si>
  <si>
    <t>水am</t>
  </si>
  <si>
    <t>木am</t>
  </si>
  <si>
    <t>金am</t>
  </si>
  <si>
    <t>火pm</t>
  </si>
  <si>
    <t>水pm</t>
  </si>
  <si>
    <t>木pm</t>
  </si>
  <si>
    <t>金pm</t>
  </si>
  <si>
    <t>火ra</t>
  </si>
  <si>
    <t>水ra</t>
  </si>
  <si>
    <t>木ra</t>
  </si>
  <si>
    <t>金ra</t>
  </si>
  <si>
    <t>昼のみ</t>
    <rPh sb="0" eb="1">
      <t>ヒル</t>
    </rPh>
    <phoneticPr fontId="1"/>
  </si>
  <si>
    <t>夜のみ</t>
    <rPh sb="0" eb="1">
      <t>ヨル</t>
    </rPh>
    <phoneticPr fontId="1"/>
  </si>
  <si>
    <t>・表示の行数は下記のとおりです。</t>
    <rPh sb="1" eb="3">
      <t>ヒョウジ</t>
    </rPh>
    <rPh sb="4" eb="6">
      <t>ギョウスウ</t>
    </rPh>
    <rPh sb="7" eb="9">
      <t>カキ</t>
    </rPh>
    <phoneticPr fontId="1"/>
  </si>
  <si>
    <t>なし</t>
    <phoneticPr fontId="1"/>
  </si>
  <si>
    <t>印刷について</t>
    <rPh sb="0" eb="2">
      <t>インサツ</t>
    </rPh>
    <phoneticPr fontId="1"/>
  </si>
  <si>
    <t>A4両面×２枚</t>
    <rPh sb="2" eb="4">
      <t>リョウメン</t>
    </rPh>
    <rPh sb="6" eb="7">
      <t>マイ</t>
    </rPh>
    <phoneticPr fontId="1"/>
  </si>
  <si>
    <t>A3両面×１枚</t>
    <rPh sb="2" eb="4">
      <t>リョウメン</t>
    </rPh>
    <rPh sb="6" eb="7">
      <t>マイ</t>
    </rPh>
    <phoneticPr fontId="1"/>
  </si>
  <si>
    <t>・夜のみが新設されました。昼・夜食事離床の方がいた場合、昼１行、夜１行用意すれば反映されます。</t>
    <rPh sb="1" eb="2">
      <t>ヨル</t>
    </rPh>
    <rPh sb="5" eb="7">
      <t>シンセツ</t>
    </rPh>
    <rPh sb="13" eb="14">
      <t>ヒル</t>
    </rPh>
    <rPh sb="15" eb="16">
      <t>ヨル</t>
    </rPh>
    <rPh sb="16" eb="18">
      <t>ショクジ</t>
    </rPh>
    <rPh sb="18" eb="20">
      <t>リショウ</t>
    </rPh>
    <rPh sb="21" eb="22">
      <t>カタ</t>
    </rPh>
    <rPh sb="25" eb="27">
      <t>バアイ</t>
    </rPh>
    <rPh sb="28" eb="29">
      <t>ヒル</t>
    </rPh>
    <rPh sb="30" eb="31">
      <t>ギョウ</t>
    </rPh>
    <rPh sb="32" eb="33">
      <t>ヨル</t>
    </rPh>
    <rPh sb="34" eb="35">
      <t>ギョウ</t>
    </rPh>
    <rPh sb="35" eb="37">
      <t>ヨウイ</t>
    </rPh>
    <rPh sb="40" eb="42">
      <t>ハンエイ</t>
    </rPh>
    <phoneticPr fontId="1"/>
  </si>
  <si>
    <t>※新旧すべてのverは報告用を編集するとすべて同時に作成されます。</t>
    <rPh sb="1" eb="3">
      <t>シンキュウ</t>
    </rPh>
    <rPh sb="11" eb="14">
      <t>ホウコクヨウ</t>
    </rPh>
    <rPh sb="15" eb="17">
      <t>ヘンシュウ</t>
    </rPh>
    <rPh sb="23" eb="25">
      <t>ドウジ</t>
    </rPh>
    <rPh sb="26" eb="28">
      <t>サクセイ</t>
    </rPh>
    <phoneticPr fontId="1"/>
  </si>
  <si>
    <t>旧乗車表</t>
    <rPh sb="0" eb="1">
      <t>キュウ</t>
    </rPh>
    <rPh sb="1" eb="4">
      <t>ジョウシャヒョウ</t>
    </rPh>
    <phoneticPr fontId="1"/>
  </si>
  <si>
    <t>新A4乗車表</t>
    <rPh sb="0" eb="1">
      <t>シン</t>
    </rPh>
    <rPh sb="3" eb="6">
      <t>ジョウシャヒョウ</t>
    </rPh>
    <phoneticPr fontId="1"/>
  </si>
  <si>
    <t>新A3乗車表</t>
    <rPh sb="0" eb="1">
      <t>シン</t>
    </rPh>
    <rPh sb="3" eb="6">
      <t>ジョウシャヒョウ</t>
    </rPh>
    <phoneticPr fontId="1"/>
  </si>
  <si>
    <t>・行数が増えた関係で表示が小さくなり見辛くなったかもしれないため、Ａ４サイズとＡ３サイズを作りました。</t>
    <rPh sb="1" eb="3">
      <t>ギョウスウ</t>
    </rPh>
    <rPh sb="4" eb="5">
      <t>フ</t>
    </rPh>
    <rPh sb="7" eb="9">
      <t>カンケイ</t>
    </rPh>
    <rPh sb="10" eb="12">
      <t>ヒョウジ</t>
    </rPh>
    <rPh sb="13" eb="14">
      <t>チイ</t>
    </rPh>
    <rPh sb="18" eb="19">
      <t>ミ</t>
    </rPh>
    <rPh sb="19" eb="20">
      <t>ツラ</t>
    </rPh>
    <rPh sb="45" eb="46">
      <t>ツク</t>
    </rPh>
    <phoneticPr fontId="1"/>
  </si>
  <si>
    <t>・Ａ３が大きすぎる場合はＡ３版をＢ４に縮小印刷するとよいかもしれません。</t>
    <rPh sb="4" eb="5">
      <t>オオ</t>
    </rPh>
    <rPh sb="9" eb="11">
      <t>バアイ</t>
    </rPh>
    <rPh sb="14" eb="15">
      <t>バン</t>
    </rPh>
    <rPh sb="19" eb="21">
      <t>シュクショウ</t>
    </rPh>
    <rPh sb="21" eb="23">
      <t>インサツ</t>
    </rPh>
    <phoneticPr fontId="1"/>
  </si>
  <si>
    <t>・病棟で使用感の良いほうを検討してください。</t>
    <rPh sb="1" eb="3">
      <t>ビョウトウ</t>
    </rPh>
    <rPh sb="4" eb="7">
      <t>シヨウカン</t>
    </rPh>
    <rPh sb="8" eb="9">
      <t>ヨ</t>
    </rPh>
    <rPh sb="13" eb="15">
      <t>ケントウ</t>
    </rPh>
    <phoneticPr fontId="1"/>
  </si>
  <si>
    <t>このシートは見たら削除してもらって構いません。</t>
    <rPh sb="6" eb="7">
      <t>ミ</t>
    </rPh>
    <rPh sb="9" eb="11">
      <t>サクジョ</t>
    </rPh>
    <rPh sb="17" eb="18">
      <t>カマ</t>
    </rPh>
    <phoneticPr fontId="1"/>
  </si>
  <si>
    <t>車いす乗車表新Verについて</t>
    <rPh sb="0" eb="1">
      <t>クルマ</t>
    </rPh>
    <rPh sb="3" eb="6">
      <t>ジョウシャヒョウ</t>
    </rPh>
    <rPh sb="6" eb="7">
      <t>シン</t>
    </rPh>
    <phoneticPr fontId="1"/>
  </si>
  <si>
    <t>★上條　礼子</t>
    <rPh sb="1" eb="3">
      <t>カミジョウ</t>
    </rPh>
    <rPh sb="4" eb="6">
      <t>レイコ</t>
    </rPh>
    <phoneticPr fontId="1"/>
  </si>
  <si>
    <t>ネクストコア</t>
    <phoneticPr fontId="1"/>
  </si>
  <si>
    <t>小林　慶子</t>
    <phoneticPr fontId="1"/>
  </si>
  <si>
    <t>小澤　俊治</t>
  </si>
  <si>
    <t>小澤　俊治</t>
    <phoneticPr fontId="1"/>
  </si>
  <si>
    <t>共用</t>
    <phoneticPr fontId="1"/>
  </si>
  <si>
    <t>火金</t>
    <rPh sb="0" eb="2">
      <t>カキン</t>
    </rPh>
    <phoneticPr fontId="1"/>
  </si>
  <si>
    <t>深味　照子</t>
    <rPh sb="0" eb="2">
      <t>フカミ</t>
    </rPh>
    <rPh sb="3" eb="5">
      <t>テルコ</t>
    </rPh>
    <phoneticPr fontId="1"/>
  </si>
  <si>
    <t>中澤　和江</t>
    <phoneticPr fontId="1"/>
  </si>
  <si>
    <t>加納　鉄也</t>
    <rPh sb="0" eb="1">
      <t>カ</t>
    </rPh>
    <rPh sb="1" eb="2">
      <t>ノウ</t>
    </rPh>
    <rPh sb="3" eb="4">
      <t>テツ</t>
    </rPh>
    <rPh sb="4" eb="5">
      <t>ヤ</t>
    </rPh>
    <phoneticPr fontId="1"/>
  </si>
  <si>
    <t>その他(黒)</t>
    <rPh sb="2" eb="3">
      <t>タ</t>
    </rPh>
    <rPh sb="4" eb="5">
      <t>クロ</t>
    </rPh>
    <phoneticPr fontId="1"/>
  </si>
  <si>
    <t>小林　國光</t>
    <rPh sb="0" eb="2">
      <t>コバヤシ</t>
    </rPh>
    <rPh sb="3" eb="5">
      <t>クニミツ</t>
    </rPh>
    <phoneticPr fontId="1"/>
  </si>
  <si>
    <t>塩沢　信子</t>
    <rPh sb="0" eb="2">
      <t>シオザワ</t>
    </rPh>
    <rPh sb="3" eb="5">
      <t>ノブコ</t>
    </rPh>
    <phoneticPr fontId="1"/>
  </si>
  <si>
    <t>小林　登志子</t>
    <phoneticPr fontId="1"/>
  </si>
  <si>
    <t>★佐藤　光正</t>
    <phoneticPr fontId="1"/>
  </si>
  <si>
    <t>佐藤　光正</t>
    <phoneticPr fontId="1"/>
  </si>
  <si>
    <t>森　たい子</t>
    <rPh sb="0" eb="1">
      <t>モリ</t>
    </rPh>
    <rPh sb="4" eb="5">
      <t>コ</t>
    </rPh>
    <phoneticPr fontId="1"/>
  </si>
  <si>
    <t>千野　周恵</t>
    <rPh sb="0" eb="2">
      <t>チノ</t>
    </rPh>
    <rPh sb="3" eb="5">
      <t>シュウケイ</t>
    </rPh>
    <phoneticPr fontId="1"/>
  </si>
  <si>
    <t>太田　恵須子</t>
    <rPh sb="0" eb="2">
      <t>オオタ</t>
    </rPh>
    <rPh sb="3" eb="4">
      <t>エ</t>
    </rPh>
    <rPh sb="4" eb="5">
      <t>ス</t>
    </rPh>
    <rPh sb="5" eb="6">
      <t>コ</t>
    </rPh>
    <phoneticPr fontId="1"/>
  </si>
  <si>
    <t>★フジイロザスミコ</t>
    <phoneticPr fontId="1"/>
  </si>
  <si>
    <t>フジイロザスミコ</t>
    <phoneticPr fontId="1"/>
  </si>
  <si>
    <t>土田　茂</t>
    <rPh sb="0" eb="2">
      <t>ツチダ</t>
    </rPh>
    <rPh sb="3" eb="4">
      <t>シゲル</t>
    </rPh>
    <phoneticPr fontId="1"/>
  </si>
  <si>
    <t>河野　秀夫</t>
    <rPh sb="0" eb="2">
      <t>コウノ</t>
    </rPh>
    <rPh sb="3" eb="5">
      <t>ヒデオ</t>
    </rPh>
    <phoneticPr fontId="1"/>
  </si>
  <si>
    <t>小口　千穂</t>
    <rPh sb="0" eb="2">
      <t>オグチ</t>
    </rPh>
    <rPh sb="3" eb="5">
      <t>チホ</t>
    </rPh>
    <phoneticPr fontId="1"/>
  </si>
  <si>
    <t>月水</t>
    <rPh sb="0" eb="1">
      <t>ゲツ</t>
    </rPh>
    <rPh sb="1" eb="2">
      <t>スイ</t>
    </rPh>
    <phoneticPr fontId="1"/>
  </si>
  <si>
    <t>遠山　貞一</t>
    <rPh sb="0" eb="2">
      <t>トオヤマ</t>
    </rPh>
    <rPh sb="3" eb="5">
      <t>テイイチ</t>
    </rPh>
    <phoneticPr fontId="1"/>
  </si>
  <si>
    <t>古屋　桂子</t>
    <phoneticPr fontId="1"/>
  </si>
  <si>
    <t>中川　誠</t>
    <rPh sb="0" eb="2">
      <t>ナカガワ</t>
    </rPh>
    <rPh sb="3" eb="4">
      <t>マコト</t>
    </rPh>
    <phoneticPr fontId="1"/>
  </si>
  <si>
    <t>高田 保英</t>
    <rPh sb="0" eb="2">
      <t>タカダ</t>
    </rPh>
    <rPh sb="3" eb="5">
      <t>ヤスヒデ</t>
    </rPh>
    <phoneticPr fontId="1"/>
  </si>
  <si>
    <t>火金</t>
    <rPh sb="0" eb="1">
      <t>カ</t>
    </rPh>
    <rPh sb="1" eb="2">
      <t>キン</t>
    </rPh>
    <phoneticPr fontId="1"/>
  </si>
  <si>
    <t>ピタNoなし</t>
    <phoneticPr fontId="1"/>
  </si>
  <si>
    <t>毎日</t>
  </si>
  <si>
    <t>石山　圭子</t>
  </si>
  <si>
    <t>斎藤　潤一</t>
    <rPh sb="0" eb="2">
      <t>サイトウ</t>
    </rPh>
    <rPh sb="3" eb="5">
      <t>ジュンイチ</t>
    </rPh>
    <phoneticPr fontId="1"/>
  </si>
  <si>
    <t>牛山　はつ子</t>
    <rPh sb="0" eb="2">
      <t>ウシヤマ</t>
    </rPh>
    <rPh sb="5" eb="6">
      <t>コ</t>
    </rPh>
    <phoneticPr fontId="1"/>
  </si>
  <si>
    <t>渡邉　和洋</t>
    <rPh sb="0" eb="2">
      <t>ワタナベ</t>
    </rPh>
    <rPh sb="3" eb="5">
      <t>カズヒロ</t>
    </rPh>
    <phoneticPr fontId="1"/>
  </si>
  <si>
    <t>深水　洋子</t>
    <rPh sb="0" eb="2">
      <t>フカミ</t>
    </rPh>
    <rPh sb="3" eb="5">
      <t>ヨウコ</t>
    </rPh>
    <phoneticPr fontId="1"/>
  </si>
  <si>
    <t>一瀬　京子</t>
    <rPh sb="0" eb="2">
      <t>イチノセ</t>
    </rPh>
    <rPh sb="3" eb="5">
      <t>キョウコ</t>
    </rPh>
    <phoneticPr fontId="1"/>
  </si>
  <si>
    <t>志村とも子</t>
    <phoneticPr fontId="1"/>
  </si>
  <si>
    <t>グレイスコア</t>
    <phoneticPr fontId="1"/>
  </si>
  <si>
    <t>丸山　由美子</t>
    <phoneticPr fontId="1"/>
  </si>
  <si>
    <t>堀内　竹子</t>
    <phoneticPr fontId="1"/>
  </si>
  <si>
    <t>B</t>
  </si>
  <si>
    <t>月水金</t>
  </si>
  <si>
    <t>大森　俊子</t>
    <rPh sb="0" eb="2">
      <t>オオモリ</t>
    </rPh>
    <rPh sb="3" eb="5">
      <t>トシコ</t>
    </rPh>
    <phoneticPr fontId="1"/>
  </si>
  <si>
    <t>ロホNo5</t>
    <phoneticPr fontId="1"/>
  </si>
  <si>
    <t>森下計二</t>
    <rPh sb="0" eb="2">
      <t>モリシタ</t>
    </rPh>
    <rPh sb="2" eb="3">
      <t>ケイ</t>
    </rPh>
    <rPh sb="3" eb="4">
      <t>ニ</t>
    </rPh>
    <phoneticPr fontId="1"/>
  </si>
  <si>
    <t>★村松　恒彦</t>
    <rPh sb="1" eb="3">
      <t>ムラマツ</t>
    </rPh>
    <rPh sb="4" eb="6">
      <t>ツネヒコ</t>
    </rPh>
    <phoneticPr fontId="1"/>
  </si>
  <si>
    <t>★遠山　貞一</t>
    <rPh sb="1" eb="3">
      <t>トオヤマ</t>
    </rPh>
    <rPh sb="4" eb="6">
      <t>テイイチ</t>
    </rPh>
    <phoneticPr fontId="1"/>
  </si>
  <si>
    <t>★横森　宗男</t>
    <rPh sb="1" eb="3">
      <t>ヨコモリ</t>
    </rPh>
    <rPh sb="4" eb="6">
      <t>ムネオ</t>
    </rPh>
    <phoneticPr fontId="1"/>
  </si>
  <si>
    <t>鈴木　賢浄</t>
    <rPh sb="0" eb="2">
      <t>スズキ</t>
    </rPh>
    <rPh sb="3" eb="4">
      <t>ケン</t>
    </rPh>
    <rPh sb="4" eb="5">
      <t>ジョウ</t>
    </rPh>
    <phoneticPr fontId="1"/>
  </si>
  <si>
    <t>里吉　松子</t>
    <rPh sb="0" eb="2">
      <t>サトヨシ</t>
    </rPh>
    <rPh sb="3" eb="5">
      <t>マツコ</t>
    </rPh>
    <phoneticPr fontId="1"/>
  </si>
  <si>
    <t>月金</t>
    <rPh sb="0" eb="1">
      <t>ゲツ</t>
    </rPh>
    <rPh sb="1" eb="2">
      <t>キン</t>
    </rPh>
    <phoneticPr fontId="1"/>
  </si>
  <si>
    <t>月木</t>
    <rPh sb="0" eb="2">
      <t>ゲツモク</t>
    </rPh>
    <phoneticPr fontId="1"/>
  </si>
  <si>
    <t>水上　哲彌</t>
  </si>
  <si>
    <t>ロホNo2</t>
    <phoneticPr fontId="1"/>
  </si>
  <si>
    <t>専用</t>
    <phoneticPr fontId="1"/>
  </si>
  <si>
    <t>渡邉　シマ子</t>
  </si>
  <si>
    <t>末木　志ん</t>
    <rPh sb="0" eb="2">
      <t>スエキ</t>
    </rPh>
    <rPh sb="3" eb="4">
      <t>シ</t>
    </rPh>
    <phoneticPr fontId="1"/>
  </si>
  <si>
    <t>月水金</t>
    <phoneticPr fontId="1"/>
  </si>
  <si>
    <t>馬塲 日出子</t>
    <rPh sb="0" eb="1">
      <t>ウマ</t>
    </rPh>
    <rPh sb="1" eb="2">
      <t>バ</t>
    </rPh>
    <rPh sb="3" eb="6">
      <t>ヒデコ</t>
    </rPh>
    <phoneticPr fontId="1"/>
  </si>
  <si>
    <t>内藤　範治</t>
    <rPh sb="0" eb="2">
      <t>ナイトウ</t>
    </rPh>
    <rPh sb="3" eb="4">
      <t>ハン</t>
    </rPh>
    <rPh sb="4" eb="5">
      <t>ジ</t>
    </rPh>
    <phoneticPr fontId="1"/>
  </si>
  <si>
    <t>コナカザワキクコ</t>
    <phoneticPr fontId="1"/>
  </si>
  <si>
    <t>2</t>
    <phoneticPr fontId="1"/>
  </si>
  <si>
    <t>スタンダード</t>
    <phoneticPr fontId="1"/>
  </si>
  <si>
    <t>堀内　道雄</t>
    <rPh sb="0" eb="2">
      <t>ホリウチ</t>
    </rPh>
    <rPh sb="3" eb="5">
      <t>ミチオ</t>
    </rPh>
    <phoneticPr fontId="1"/>
  </si>
  <si>
    <t>ロホNo4</t>
    <phoneticPr fontId="1"/>
  </si>
  <si>
    <t>笹本　定子</t>
    <rPh sb="0" eb="2">
      <t>ササモト</t>
    </rPh>
    <rPh sb="3" eb="5">
      <t>サダコ</t>
    </rPh>
    <phoneticPr fontId="1"/>
  </si>
  <si>
    <t>歩行</t>
    <rPh sb="0" eb="2">
      <t>ホコウ</t>
    </rPh>
    <phoneticPr fontId="1"/>
  </si>
  <si>
    <t>その他</t>
    <rPh sb="2" eb="3">
      <t>タ</t>
    </rPh>
    <phoneticPr fontId="1"/>
  </si>
  <si>
    <t>望月　昭利(短時間)</t>
    <rPh sb="0" eb="2">
      <t>モチヅキ</t>
    </rPh>
    <rPh sb="3" eb="5">
      <t>アキトシ</t>
    </rPh>
    <rPh sb="6" eb="9">
      <t>タンジカン</t>
    </rPh>
    <phoneticPr fontId="1"/>
  </si>
  <si>
    <t>ロホNo</t>
    <phoneticPr fontId="1"/>
  </si>
  <si>
    <t>一瀨　好恵</t>
    <rPh sb="0" eb="1">
      <t>イチ</t>
    </rPh>
    <rPh sb="1" eb="2">
      <t>セ</t>
    </rPh>
    <rPh sb="3" eb="4">
      <t>コノ</t>
    </rPh>
    <rPh sb="4" eb="5">
      <t>エ</t>
    </rPh>
    <phoneticPr fontId="1"/>
  </si>
  <si>
    <t>山本　たみ子</t>
    <phoneticPr fontId="1"/>
  </si>
  <si>
    <t>笠井　京子</t>
    <rPh sb="0" eb="2">
      <t>カサイ</t>
    </rPh>
    <rPh sb="3" eb="5">
      <t>キョウコ</t>
    </rPh>
    <phoneticPr fontId="1"/>
  </si>
  <si>
    <t>月水金</t>
    <rPh sb="0" eb="3">
      <t>ゲッスイキン</t>
    </rPh>
    <phoneticPr fontId="1"/>
  </si>
  <si>
    <t>鴨下　恵美子</t>
    <rPh sb="0" eb="2">
      <t>カモシタ</t>
    </rPh>
    <rPh sb="3" eb="6">
      <t>エミコ</t>
    </rPh>
    <phoneticPr fontId="1"/>
  </si>
  <si>
    <t>田中　喬雄</t>
    <rPh sb="0" eb="2">
      <t>タナカ</t>
    </rPh>
    <rPh sb="3" eb="5">
      <t>タカオ</t>
    </rPh>
    <phoneticPr fontId="1"/>
  </si>
  <si>
    <t>吉井　用子</t>
    <rPh sb="0" eb="2">
      <t>ヨシイ</t>
    </rPh>
    <rPh sb="3" eb="4">
      <t>ヨウ</t>
    </rPh>
    <rPh sb="4" eb="5">
      <t>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</si>
</sst>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最&quot;&quot;終&quot;&quot;更&quot;&quot;新&quot;&quot;日&quot;\ \:\ [$-411]ge/m/d;@"/>
  </numFmts>
  <fonts count="20">
    <font>
      <sz val="11"/>
      <color theme="1"/>
      <name val="Yu Gothic"/>
      <family val="2"/>
      <scheme val="minor"/>
    </font>
    <font>
      <sz val="6"/>
      <name val="Yu Gothic"/>
      <family val="3"/>
      <charset val="128"/>
      <scheme val="minor"/>
    </font>
    <font>
      <sz val="14"/>
      <color theme="1"/>
      <name val="游ゴシック"/>
      <family val="3"/>
      <charset val="128"/>
    </font>
    <font>
      <b/>
      <sz val="14"/>
      <color theme="1"/>
      <name val="游ゴシック"/>
      <family val="3"/>
      <charset val="128"/>
    </font>
    <font>
      <b/>
      <sz val="12"/>
      <color theme="1"/>
      <name val="游ゴシック"/>
      <family val="3"/>
      <charset val="128"/>
    </font>
    <font>
      <b/>
      <sz val="16"/>
      <color theme="1"/>
      <name val="游ゴシック"/>
      <family val="3"/>
      <charset val="128"/>
    </font>
    <font>
      <b/>
      <sz val="36"/>
      <color theme="1"/>
      <name val="游ゴシック"/>
      <family val="3"/>
      <charset val="128"/>
    </font>
    <font>
      <sz val="11"/>
      <color theme="1"/>
      <name val="游ゴシック"/>
      <family val="3"/>
      <charset val="128"/>
    </font>
    <font>
      <sz val="10"/>
      <name val="游ゴシック"/>
      <family val="3"/>
      <charset val="128"/>
    </font>
    <font>
      <sz val="10"/>
      <color theme="1"/>
      <name val="游ゴシック"/>
      <family val="3"/>
      <charset val="128"/>
    </font>
    <font>
      <sz val="10"/>
      <color theme="1" tint="0.499984740745262"/>
      <name val="游ゴシック"/>
      <family val="3"/>
      <charset val="128"/>
    </font>
    <font>
      <b/>
      <sz val="10"/>
      <name val="游ゴシック"/>
      <family val="3"/>
      <charset val="128"/>
    </font>
    <font>
      <sz val="8"/>
      <color theme="1"/>
      <name val="游ゴシック"/>
      <family val="3"/>
      <charset val="128"/>
    </font>
    <font>
      <b/>
      <sz val="36"/>
      <color theme="1"/>
      <name val="メイリオ"/>
      <family val="3"/>
      <charset val="128"/>
    </font>
    <font>
      <b/>
      <sz val="12"/>
      <color theme="1"/>
      <name val="メイリオ"/>
      <family val="3"/>
      <charset val="128"/>
    </font>
    <font>
      <b/>
      <sz val="16"/>
      <color theme="1"/>
      <name val="メイリオ"/>
      <family val="3"/>
      <charset val="128"/>
    </font>
    <font>
      <b/>
      <sz val="14"/>
      <color theme="1"/>
      <name val="メイリオ"/>
      <family val="3"/>
      <charset val="128"/>
    </font>
    <font>
      <b/>
      <sz val="24"/>
      <color theme="1"/>
      <name val="メイリオ"/>
      <family val="3"/>
      <charset val="128"/>
    </font>
    <font>
      <b/>
      <sz val="11"/>
      <color theme="1"/>
      <name val="メイリオ"/>
      <family val="3"/>
      <charset val="128"/>
    </font>
    <font>
      <sz val="11"/>
      <name val="Yu Gothic"/>
      <family val="2"/>
      <scheme val="minor"/>
    </font>
  </fonts>
  <fills count="9">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indexed="64"/>
      </patternFill>
    </fill>
    <fill>
      <patternFill patternType="solid">
        <fgColor rgb="FFFFC000"/>
        <bgColor theme="4"/>
      </patternFill>
    </fill>
    <fill>
      <patternFill patternType="solid">
        <fgColor rgb="FF92D050"/>
        <bgColor indexed="64"/>
      </patternFill>
    </fill>
    <fill>
      <patternFill patternType="solid">
        <fgColor rgb="FFFFFF66"/>
        <bgColor indexed="64"/>
      </patternFill>
    </fill>
    <fill>
      <patternFill patternType="solid">
        <fgColor theme="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theme="7" tint="0.39997558519241921"/>
      </bottom>
      <diagonal/>
    </border>
    <border>
      <left/>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262">
    <xf numFmtId="0" fontId="0" fillId="0" borderId="0" xfId="0"/>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4" fillId="0" borderId="20" xfId="0" applyFont="1" applyBorder="1" applyAlignment="1">
      <alignment horizontal="center" vertical="center"/>
    </xf>
    <xf numFmtId="0" fontId="4" fillId="0" borderId="27" xfId="0" applyFont="1" applyBorder="1" applyAlignment="1">
      <alignment horizontal="center" vertical="center"/>
    </xf>
    <xf numFmtId="0" fontId="3" fillId="0" borderId="23" xfId="0" applyFont="1" applyBorder="1" applyAlignment="1">
      <alignment horizontal="center" vertical="center"/>
    </xf>
    <xf numFmtId="0" fontId="3" fillId="0" borderId="25" xfId="0" applyFont="1" applyBorder="1" applyAlignment="1">
      <alignment horizontal="center" vertical="center"/>
    </xf>
    <xf numFmtId="0" fontId="3" fillId="0" borderId="29" xfId="0" applyFont="1" applyBorder="1" applyAlignment="1">
      <alignment horizontal="center" vertical="center"/>
    </xf>
    <xf numFmtId="0" fontId="3" fillId="0" borderId="1" xfId="0" applyFont="1" applyBorder="1" applyAlignment="1">
      <alignment horizontal="center" vertical="center"/>
    </xf>
    <xf numFmtId="0" fontId="3" fillId="0" borderId="17" xfId="0" applyFont="1" applyBorder="1" applyAlignment="1">
      <alignment horizontal="center" vertical="center"/>
    </xf>
    <xf numFmtId="0" fontId="3" fillId="0" borderId="15" xfId="0" applyFont="1" applyBorder="1" applyAlignment="1">
      <alignment horizontal="center" vertical="center"/>
    </xf>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3" fillId="0" borderId="27" xfId="0" applyFont="1" applyBorder="1" applyAlignment="1">
      <alignment horizontal="center" vertical="center"/>
    </xf>
    <xf numFmtId="0" fontId="3" fillId="0" borderId="2" xfId="0" applyFont="1" applyBorder="1" applyAlignment="1">
      <alignment horizontal="center" vertical="center"/>
    </xf>
    <xf numFmtId="0" fontId="3" fillId="0" borderId="18" xfId="0" applyFont="1" applyBorder="1" applyAlignment="1">
      <alignment horizontal="center" vertical="center"/>
    </xf>
    <xf numFmtId="0" fontId="3" fillId="0" borderId="13" xfId="0" applyFont="1" applyBorder="1" applyAlignment="1">
      <alignment horizontal="center" vertical="center"/>
    </xf>
    <xf numFmtId="0" fontId="3" fillId="0" borderId="7" xfId="0" applyFont="1" applyBorder="1" applyAlignment="1">
      <alignment horizontal="center" vertical="center"/>
    </xf>
    <xf numFmtId="0" fontId="3" fillId="0" borderId="16" xfId="0" applyFont="1" applyBorder="1" applyAlignment="1">
      <alignment horizontal="center" vertical="center"/>
    </xf>
    <xf numFmtId="0" fontId="3" fillId="0" borderId="8" xfId="0" applyFont="1" applyBorder="1" applyAlignment="1">
      <alignment horizontal="center" vertical="center"/>
    </xf>
    <xf numFmtId="0" fontId="7" fillId="0" borderId="0" xfId="0" applyFont="1"/>
    <xf numFmtId="0" fontId="7" fillId="0" borderId="0" xfId="0" applyFont="1" applyAlignment="1">
      <alignment horizontal="center" vertical="center"/>
    </xf>
    <xf numFmtId="0" fontId="6" fillId="0" borderId="0" xfId="0" applyFont="1" applyAlignment="1">
      <alignment vertical="center"/>
    </xf>
    <xf numFmtId="0" fontId="5" fillId="0" borderId="24" xfId="0" applyFont="1" applyBorder="1" applyAlignment="1">
      <alignment horizontal="left" vertical="center" shrinkToFit="1"/>
    </xf>
    <xf numFmtId="0" fontId="5" fillId="0" borderId="14" xfId="0" applyFont="1" applyBorder="1" applyAlignment="1">
      <alignment horizontal="left" vertical="center" shrinkToFit="1"/>
    </xf>
    <xf numFmtId="0" fontId="5" fillId="0" borderId="21" xfId="0" applyFont="1" applyBorder="1" applyAlignment="1">
      <alignment horizontal="left" vertical="center" shrinkToFit="1"/>
    </xf>
    <xf numFmtId="0" fontId="5" fillId="0" borderId="12" xfId="0" applyFont="1" applyBorder="1" applyAlignment="1">
      <alignment horizontal="left" vertical="center" shrinkToFit="1"/>
    </xf>
    <xf numFmtId="0" fontId="5" fillId="0" borderId="11" xfId="0" applyFont="1" applyBorder="1" applyAlignment="1">
      <alignment horizontal="left" vertical="center" shrinkToFit="1"/>
    </xf>
    <xf numFmtId="0" fontId="12" fillId="0" borderId="0" xfId="0" applyFont="1" applyAlignment="1">
      <alignment horizontal="left"/>
    </xf>
    <xf numFmtId="0" fontId="10" fillId="0" borderId="0" xfId="0" applyFont="1" applyAlignment="1">
      <alignment vertical="center"/>
    </xf>
    <xf numFmtId="0" fontId="9" fillId="0" borderId="0" xfId="0" applyFont="1" applyAlignment="1">
      <alignment vertical="center"/>
    </xf>
    <xf numFmtId="0" fontId="11" fillId="2" borderId="1" xfId="0" applyFont="1" applyFill="1" applyBorder="1" applyAlignment="1" applyProtection="1">
      <alignment horizontal="center" vertical="center"/>
      <protection locked="0"/>
    </xf>
    <xf numFmtId="176" fontId="11" fillId="2" borderId="1" xfId="0" applyNumberFormat="1" applyFont="1" applyFill="1" applyBorder="1" applyAlignment="1" applyProtection="1">
      <alignment horizontal="center" vertical="center"/>
      <protection locked="0"/>
    </xf>
    <xf numFmtId="0" fontId="8" fillId="0" borderId="17"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9" fillId="0" borderId="17" xfId="0"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1" xfId="0" applyFont="1" applyBorder="1" applyAlignment="1" applyProtection="1">
      <alignment horizontal="left" vertical="center"/>
      <protection locked="0"/>
    </xf>
    <xf numFmtId="0" fontId="11" fillId="3" borderId="1" xfId="0" applyFont="1" applyFill="1" applyBorder="1" applyAlignment="1" applyProtection="1">
      <alignment horizontal="center" vertical="center"/>
      <protection locked="0"/>
    </xf>
    <xf numFmtId="0" fontId="11" fillId="3" borderId="33" xfId="0" applyFont="1" applyFill="1" applyBorder="1" applyAlignment="1" applyProtection="1">
      <alignment horizontal="center" vertical="center"/>
      <protection locked="0"/>
    </xf>
    <xf numFmtId="176" fontId="11" fillId="5" borderId="1" xfId="0" applyNumberFormat="1" applyFont="1" applyFill="1" applyBorder="1" applyAlignment="1" applyProtection="1">
      <alignment horizontal="center" vertical="center"/>
      <protection locked="0"/>
    </xf>
    <xf numFmtId="0" fontId="11" fillId="3" borderId="32" xfId="0" applyFont="1" applyFill="1" applyBorder="1" applyAlignment="1" applyProtection="1">
      <alignment horizontal="center" vertical="center"/>
      <protection locked="0"/>
    </xf>
    <xf numFmtId="0" fontId="9" fillId="0" borderId="32" xfId="0" applyFont="1" applyBorder="1" applyAlignment="1" applyProtection="1">
      <alignment horizontal="left" vertical="center"/>
      <protection locked="0"/>
    </xf>
    <xf numFmtId="0" fontId="9" fillId="0" borderId="35" xfId="0" applyFont="1" applyBorder="1" applyAlignment="1" applyProtection="1">
      <alignment horizontal="center" vertical="center"/>
      <protection locked="0"/>
    </xf>
    <xf numFmtId="0" fontId="0" fillId="0" borderId="0" xfId="0" applyAlignment="1">
      <alignment vertical="center"/>
    </xf>
    <xf numFmtId="0" fontId="0" fillId="0" borderId="1"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left" vertical="center" shrinkToFit="1"/>
    </xf>
    <xf numFmtId="0" fontId="0" fillId="0" borderId="23" xfId="0"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left" vertical="center" shrinkToFit="1"/>
    </xf>
    <xf numFmtId="0" fontId="0" fillId="0" borderId="20"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left" vertical="center" shrinkToFit="1"/>
    </xf>
    <xf numFmtId="0" fontId="0" fillId="0" borderId="1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9" fillId="0" borderId="0" xfId="0" applyFont="1" applyAlignment="1" applyProtection="1">
      <alignment horizontal="center" vertical="center"/>
      <protection locked="0"/>
    </xf>
    <xf numFmtId="0" fontId="9" fillId="0" borderId="0" xfId="0" applyFont="1" applyAlignment="1" applyProtection="1">
      <alignment horizontal="left" vertical="center"/>
      <protection locked="0"/>
    </xf>
    <xf numFmtId="0" fontId="3" fillId="0" borderId="36" xfId="0" applyFont="1" applyBorder="1" applyAlignment="1">
      <alignment horizontal="center" vertical="center"/>
    </xf>
    <xf numFmtId="0" fontId="5" fillId="0" borderId="12" xfId="0" applyFont="1" applyBorder="1" applyAlignment="1">
      <alignment horizontal="center" vertical="center" shrinkToFit="1"/>
    </xf>
    <xf numFmtId="0" fontId="5" fillId="0" borderId="40" xfId="0" applyFont="1" applyBorder="1" applyAlignment="1">
      <alignment horizontal="center" vertical="center" shrinkToFit="1"/>
    </xf>
    <xf numFmtId="0" fontId="5" fillId="0" borderId="14" xfId="0" applyFont="1" applyBorder="1" applyAlignment="1">
      <alignment horizontal="center" vertical="center" shrinkToFit="1"/>
    </xf>
    <xf numFmtId="0" fontId="0" fillId="0" borderId="11" xfId="0" applyBorder="1" applyAlignment="1">
      <alignment horizontal="left" vertical="center" shrinkToFit="1"/>
    </xf>
    <xf numFmtId="0" fontId="3" fillId="0" borderId="19" xfId="0" applyFont="1" applyBorder="1" applyAlignment="1">
      <alignment horizontal="center" vertical="center"/>
    </xf>
    <xf numFmtId="0" fontId="3" fillId="0" borderId="41" xfId="0" applyFont="1" applyBorder="1" applyAlignment="1">
      <alignment horizontal="center" vertical="center"/>
    </xf>
    <xf numFmtId="0" fontId="5" fillId="0" borderId="25" xfId="0" applyFont="1" applyBorder="1" applyAlignment="1">
      <alignment horizontal="center" vertical="center"/>
    </xf>
    <xf numFmtId="0" fontId="5" fillId="0" borderId="17" xfId="0" applyFont="1" applyBorder="1" applyAlignment="1">
      <alignment horizontal="center" vertical="center"/>
    </xf>
    <xf numFmtId="0" fontId="5" fillId="0" borderId="22" xfId="0" applyFont="1" applyBorder="1" applyAlignment="1">
      <alignment horizontal="center" vertical="center"/>
    </xf>
    <xf numFmtId="0" fontId="0" fillId="0" borderId="12" xfId="0" applyBorder="1" applyAlignment="1">
      <alignment horizontal="center" vertical="center" shrinkToFit="1"/>
    </xf>
    <xf numFmtId="0" fontId="9" fillId="6" borderId="1" xfId="0" applyFont="1" applyFill="1" applyBorder="1" applyAlignment="1" applyProtection="1">
      <alignment horizontal="left" vertical="center"/>
      <protection locked="0"/>
    </xf>
    <xf numFmtId="0" fontId="9" fillId="7" borderId="32" xfId="0" applyFont="1" applyFill="1" applyBorder="1" applyAlignment="1" applyProtection="1">
      <alignment horizontal="left" vertical="center"/>
      <protection locked="0"/>
    </xf>
    <xf numFmtId="0" fontId="9" fillId="0" borderId="0" xfId="0" applyFont="1"/>
    <xf numFmtId="0" fontId="9" fillId="0" borderId="0" xfId="0" applyFont="1" applyAlignment="1">
      <alignment horizontal="left"/>
    </xf>
    <xf numFmtId="0" fontId="13" fillId="0" borderId="0" xfId="0" applyFont="1" applyAlignment="1">
      <alignment vertical="center"/>
    </xf>
    <xf numFmtId="0" fontId="16" fillId="0" borderId="0" xfId="0" applyFont="1" applyAlignment="1">
      <alignment vertical="center"/>
    </xf>
    <xf numFmtId="0" fontId="16" fillId="0" borderId="0" xfId="0" applyFont="1" applyAlignment="1">
      <alignment horizontal="center" vertical="center"/>
    </xf>
    <xf numFmtId="0" fontId="14" fillId="0" borderId="20" xfId="0" applyFont="1" applyBorder="1" applyAlignment="1">
      <alignment horizontal="center" vertical="center"/>
    </xf>
    <xf numFmtId="0" fontId="14" fillId="0" borderId="27" xfId="0" applyFont="1" applyBorder="1" applyAlignment="1">
      <alignment horizontal="center" vertical="center"/>
    </xf>
    <xf numFmtId="0" fontId="16" fillId="0" borderId="23" xfId="0" applyFont="1" applyBorder="1" applyAlignment="1">
      <alignment horizontal="center" vertical="center"/>
    </xf>
    <xf numFmtId="0" fontId="15" fillId="0" borderId="24" xfId="0" applyFont="1" applyBorder="1" applyAlignment="1">
      <alignment horizontal="left" vertical="center" shrinkToFit="1"/>
    </xf>
    <xf numFmtId="0" fontId="16" fillId="0" borderId="25" xfId="0" applyFont="1" applyBorder="1" applyAlignment="1">
      <alignment horizontal="center" vertical="center"/>
    </xf>
    <xf numFmtId="0" fontId="16" fillId="0" borderId="29" xfId="0" applyFont="1" applyBorder="1" applyAlignment="1">
      <alignment horizontal="center" vertical="center"/>
    </xf>
    <xf numFmtId="0" fontId="16" fillId="0" borderId="1" xfId="0" applyFont="1" applyBorder="1" applyAlignment="1">
      <alignment horizontal="center" vertical="center"/>
    </xf>
    <xf numFmtId="0" fontId="15" fillId="0" borderId="14" xfId="0" applyFont="1" applyBorder="1" applyAlignment="1">
      <alignment horizontal="left" vertical="center" shrinkToFit="1"/>
    </xf>
    <xf numFmtId="0" fontId="16" fillId="0" borderId="17" xfId="0" applyFont="1" applyBorder="1" applyAlignment="1">
      <alignment horizontal="center" vertical="center"/>
    </xf>
    <xf numFmtId="0" fontId="16" fillId="0" borderId="15" xfId="0" applyFont="1" applyBorder="1" applyAlignment="1">
      <alignment horizontal="center" vertical="center"/>
    </xf>
    <xf numFmtId="0" fontId="16" fillId="0" borderId="20" xfId="0" applyFont="1" applyBorder="1" applyAlignment="1">
      <alignment horizontal="center" vertical="center"/>
    </xf>
    <xf numFmtId="0" fontId="15" fillId="0" borderId="21" xfId="0" applyFont="1" applyBorder="1" applyAlignment="1">
      <alignment horizontal="left" vertical="center" shrinkToFit="1"/>
    </xf>
    <xf numFmtId="0" fontId="16" fillId="0" borderId="22" xfId="0" applyFont="1" applyBorder="1" applyAlignment="1">
      <alignment horizontal="center" vertical="center"/>
    </xf>
    <xf numFmtId="0" fontId="16" fillId="0" borderId="27" xfId="0" applyFont="1" applyBorder="1" applyAlignment="1">
      <alignment horizontal="center" vertical="center"/>
    </xf>
    <xf numFmtId="0" fontId="16" fillId="0" borderId="2" xfId="0" applyFont="1" applyBorder="1" applyAlignment="1">
      <alignment horizontal="center" vertical="center"/>
    </xf>
    <xf numFmtId="0" fontId="15" fillId="0" borderId="12" xfId="0" applyFont="1" applyBorder="1" applyAlignment="1">
      <alignment horizontal="left" vertical="center" shrinkToFit="1"/>
    </xf>
    <xf numFmtId="0" fontId="16" fillId="0" borderId="18" xfId="0" applyFont="1" applyBorder="1" applyAlignment="1">
      <alignment horizontal="center" vertical="center"/>
    </xf>
    <xf numFmtId="0" fontId="16" fillId="0" borderId="13" xfId="0" applyFont="1" applyBorder="1" applyAlignment="1">
      <alignment horizontal="center" vertical="center"/>
    </xf>
    <xf numFmtId="0" fontId="16" fillId="0" borderId="7" xfId="0" applyFont="1" applyBorder="1" applyAlignment="1">
      <alignment horizontal="center" vertical="center"/>
    </xf>
    <xf numFmtId="0" fontId="15" fillId="0" borderId="11" xfId="0" applyFont="1" applyBorder="1" applyAlignment="1">
      <alignment horizontal="left" vertical="center" shrinkToFit="1"/>
    </xf>
    <xf numFmtId="0" fontId="16" fillId="0" borderId="16" xfId="0" applyFont="1" applyBorder="1" applyAlignment="1">
      <alignment horizontal="center" vertical="center"/>
    </xf>
    <xf numFmtId="0" fontId="16" fillId="0" borderId="8" xfId="0" applyFont="1" applyBorder="1" applyAlignment="1">
      <alignment horizontal="center" vertical="center"/>
    </xf>
    <xf numFmtId="0" fontId="15" fillId="0" borderId="14" xfId="0" applyFont="1" applyBorder="1" applyAlignment="1">
      <alignment horizontal="center" vertical="center" shrinkToFit="1"/>
    </xf>
    <xf numFmtId="0" fontId="15" fillId="0" borderId="25" xfId="0" applyFont="1" applyBorder="1" applyAlignment="1">
      <alignment horizontal="center" vertical="center"/>
    </xf>
    <xf numFmtId="0" fontId="15" fillId="0" borderId="17" xfId="0" applyFont="1" applyBorder="1" applyAlignment="1">
      <alignment horizontal="center" vertical="center"/>
    </xf>
    <xf numFmtId="0" fontId="15" fillId="0" borderId="22" xfId="0" applyFont="1" applyBorder="1" applyAlignment="1">
      <alignment horizontal="center" vertical="center"/>
    </xf>
    <xf numFmtId="0" fontId="15" fillId="0" borderId="18" xfId="0" applyFont="1" applyBorder="1" applyAlignment="1">
      <alignment horizontal="center" vertical="center"/>
    </xf>
    <xf numFmtId="0" fontId="15" fillId="0" borderId="36" xfId="0" applyFont="1" applyBorder="1" applyAlignment="1">
      <alignment horizontal="center" vertical="center"/>
    </xf>
    <xf numFmtId="0" fontId="15" fillId="0" borderId="16" xfId="0" applyFont="1" applyBorder="1" applyAlignment="1">
      <alignment horizontal="center" vertical="center"/>
    </xf>
    <xf numFmtId="0" fontId="8" fillId="0" borderId="1" xfId="0" applyFont="1" applyBorder="1" applyAlignment="1">
      <alignment horizontal="center"/>
    </xf>
    <xf numFmtId="0" fontId="8" fillId="0" borderId="1" xfId="0" applyFont="1" applyBorder="1" applyAlignment="1">
      <alignment horizontal="center" vertical="center"/>
    </xf>
    <xf numFmtId="0" fontId="8" fillId="0" borderId="1" xfId="0" applyFont="1" applyBorder="1" applyAlignment="1">
      <alignment vertical="center"/>
    </xf>
    <xf numFmtId="0" fontId="18" fillId="0" borderId="0" xfId="0" applyFont="1" applyAlignment="1">
      <alignment vertical="center"/>
    </xf>
    <xf numFmtId="0" fontId="18" fillId="0" borderId="0" xfId="0" applyFont="1" applyAlignment="1">
      <alignment horizontal="center" vertical="center"/>
    </xf>
    <xf numFmtId="0" fontId="18" fillId="0" borderId="20" xfId="0" applyFont="1" applyBorder="1" applyAlignment="1">
      <alignment horizontal="center" vertical="center"/>
    </xf>
    <xf numFmtId="0" fontId="18" fillId="0" borderId="22" xfId="0" applyFont="1" applyBorder="1" applyAlignment="1">
      <alignment horizontal="center" vertical="center"/>
    </xf>
    <xf numFmtId="0" fontId="18" fillId="0" borderId="27" xfId="0" applyFont="1" applyBorder="1" applyAlignment="1">
      <alignment horizontal="center" vertical="center"/>
    </xf>
    <xf numFmtId="0" fontId="18" fillId="0" borderId="23" xfId="0" applyFont="1" applyBorder="1" applyAlignment="1">
      <alignment horizontal="center" vertical="center"/>
    </xf>
    <xf numFmtId="0" fontId="18" fillId="0" borderId="29" xfId="0" applyFont="1" applyBorder="1" applyAlignment="1">
      <alignment horizontal="center" vertical="center"/>
    </xf>
    <xf numFmtId="0" fontId="18" fillId="0" borderId="1" xfId="0" applyFont="1" applyBorder="1" applyAlignment="1">
      <alignment horizontal="center" vertical="center"/>
    </xf>
    <xf numFmtId="0" fontId="18" fillId="0" borderId="15" xfId="0" applyFont="1" applyBorder="1" applyAlignment="1">
      <alignment horizontal="center" vertical="center"/>
    </xf>
    <xf numFmtId="0" fontId="18" fillId="0" borderId="2" xfId="0" applyFont="1" applyBorder="1" applyAlignment="1">
      <alignment horizontal="center" vertical="center"/>
    </xf>
    <xf numFmtId="0" fontId="18" fillId="0" borderId="13" xfId="0" applyFont="1" applyBorder="1" applyAlignment="1">
      <alignment horizontal="center" vertical="center"/>
    </xf>
    <xf numFmtId="0" fontId="18" fillId="0" borderId="24" xfId="0" applyFont="1" applyBorder="1" applyAlignment="1">
      <alignment horizontal="left" vertical="center" shrinkToFit="1"/>
    </xf>
    <xf numFmtId="0" fontId="18" fillId="0" borderId="25" xfId="0" applyFont="1" applyBorder="1" applyAlignment="1">
      <alignment horizontal="center" vertical="center"/>
    </xf>
    <xf numFmtId="0" fontId="18" fillId="0" borderId="12" xfId="0" applyFont="1" applyBorder="1" applyAlignment="1">
      <alignment horizontal="left" vertical="center" shrinkToFit="1"/>
    </xf>
    <xf numFmtId="0" fontId="18" fillId="0" borderId="18" xfId="0" applyFont="1" applyBorder="1" applyAlignment="1">
      <alignment horizontal="center" vertical="center"/>
    </xf>
    <xf numFmtId="0" fontId="18" fillId="0" borderId="45" xfId="0" applyFont="1" applyBorder="1" applyAlignment="1">
      <alignment horizontal="center" vertical="center"/>
    </xf>
    <xf numFmtId="0" fontId="18" fillId="0" borderId="46" xfId="0" applyFont="1" applyBorder="1" applyAlignment="1">
      <alignment horizontal="left" vertical="center" shrinkToFit="1"/>
    </xf>
    <xf numFmtId="0" fontId="18" fillId="0" borderId="47" xfId="0" applyFont="1" applyBorder="1" applyAlignment="1">
      <alignment horizontal="center" vertical="center"/>
    </xf>
    <xf numFmtId="0" fontId="18" fillId="0" borderId="48" xfId="0" applyFont="1" applyBorder="1" applyAlignment="1">
      <alignment horizontal="center" vertical="center"/>
    </xf>
    <xf numFmtId="0" fontId="18" fillId="0" borderId="14" xfId="0" applyFont="1" applyBorder="1" applyAlignment="1">
      <alignment horizontal="left" vertical="center" shrinkToFit="1"/>
    </xf>
    <xf numFmtId="0" fontId="18" fillId="0" borderId="17" xfId="0" applyFont="1" applyBorder="1" applyAlignment="1">
      <alignment horizontal="center" vertical="center"/>
    </xf>
    <xf numFmtId="0" fontId="18" fillId="0" borderId="21" xfId="0" applyFont="1" applyBorder="1" applyAlignment="1">
      <alignment horizontal="left" vertical="center" shrinkToFit="1"/>
    </xf>
    <xf numFmtId="0" fontId="18" fillId="0" borderId="49" xfId="0" applyFont="1" applyBorder="1" applyAlignment="1">
      <alignment horizontal="center" vertical="center"/>
    </xf>
    <xf numFmtId="0" fontId="18" fillId="0" borderId="50" xfId="0" applyFont="1" applyBorder="1" applyAlignment="1">
      <alignment horizontal="left" vertical="center" shrinkToFit="1"/>
    </xf>
    <xf numFmtId="0" fontId="18" fillId="0" borderId="51" xfId="0" applyFont="1" applyBorder="1" applyAlignment="1">
      <alignment horizontal="center" vertical="center"/>
    </xf>
    <xf numFmtId="0" fontId="18" fillId="0" borderId="52" xfId="0" applyFont="1" applyBorder="1" applyAlignment="1">
      <alignment horizontal="center" vertical="center"/>
    </xf>
    <xf numFmtId="0" fontId="8" fillId="3" borderId="1" xfId="0" applyFont="1" applyFill="1" applyBorder="1" applyAlignment="1">
      <alignment horizontal="center"/>
    </xf>
    <xf numFmtId="0" fontId="8" fillId="3" borderId="1" xfId="0" applyFont="1" applyFill="1" applyBorder="1" applyAlignment="1">
      <alignment horizontal="center" vertical="center"/>
    </xf>
    <xf numFmtId="0" fontId="19" fillId="0" borderId="1" xfId="0" applyFont="1" applyBorder="1" applyAlignment="1">
      <alignment vertical="center"/>
    </xf>
    <xf numFmtId="0" fontId="0" fillId="0" borderId="1" xfId="0" applyBorder="1" applyAlignment="1">
      <alignment vertical="center"/>
    </xf>
    <xf numFmtId="0" fontId="0" fillId="0" borderId="12" xfId="0" applyBorder="1" applyAlignment="1">
      <alignment horizontal="left" vertical="center" shrinkToFit="1"/>
    </xf>
    <xf numFmtId="0" fontId="0" fillId="0" borderId="14" xfId="0" applyBorder="1" applyAlignment="1">
      <alignment horizontal="center" vertical="center" shrinkToFit="1"/>
    </xf>
    <xf numFmtId="0" fontId="0" fillId="0" borderId="15" xfId="0" applyBorder="1" applyAlignment="1">
      <alignment horizontal="center" vertical="center" shrinkToFit="1"/>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11" xfId="0" applyBorder="1" applyAlignment="1">
      <alignment horizontal="center" vertical="center"/>
    </xf>
    <xf numFmtId="0" fontId="0" fillId="0" borderId="39" xfId="0" applyBorder="1" applyAlignment="1">
      <alignment horizontal="center" vertical="center"/>
    </xf>
    <xf numFmtId="0" fontId="0" fillId="0" borderId="14" xfId="0" applyBorder="1" applyAlignment="1">
      <alignment horizontal="center" vertical="center"/>
    </xf>
    <xf numFmtId="0" fontId="16" fillId="0" borderId="21" xfId="0" applyFont="1" applyBorder="1" applyAlignment="1">
      <alignment horizontal="center" vertical="center"/>
    </xf>
    <xf numFmtId="0" fontId="16" fillId="0" borderId="24" xfId="0" applyFont="1" applyBorder="1" applyAlignment="1">
      <alignment horizontal="left" vertical="center" shrinkToFit="1"/>
    </xf>
    <xf numFmtId="0" fontId="16" fillId="0" borderId="14" xfId="0" applyFont="1" applyBorder="1" applyAlignment="1">
      <alignment horizontal="left" vertical="center" shrinkToFit="1"/>
    </xf>
    <xf numFmtId="0" fontId="16" fillId="0" borderId="12" xfId="0" applyFont="1" applyBorder="1" applyAlignment="1">
      <alignment horizontal="left" vertical="center" shrinkToFit="1"/>
    </xf>
    <xf numFmtId="0" fontId="16" fillId="0" borderId="45" xfId="0" applyFont="1" applyBorder="1" applyAlignment="1">
      <alignment horizontal="center" vertical="center"/>
    </xf>
    <xf numFmtId="0" fontId="16" fillId="0" borderId="46" xfId="0" applyFont="1" applyBorder="1" applyAlignment="1">
      <alignment horizontal="left" vertical="center" shrinkToFit="1"/>
    </xf>
    <xf numFmtId="0" fontId="16" fillId="0" borderId="48" xfId="0" applyFont="1" applyBorder="1" applyAlignment="1">
      <alignment horizontal="center" vertical="center"/>
    </xf>
    <xf numFmtId="0" fontId="16" fillId="0" borderId="21" xfId="0" applyFont="1" applyBorder="1" applyAlignment="1">
      <alignment horizontal="left" vertical="center" shrinkToFit="1"/>
    </xf>
    <xf numFmtId="0" fontId="16" fillId="0" borderId="49" xfId="0" applyFont="1" applyBorder="1" applyAlignment="1">
      <alignment horizontal="center" vertical="center"/>
    </xf>
    <xf numFmtId="0" fontId="16" fillId="0" borderId="50" xfId="0" applyFont="1" applyBorder="1" applyAlignment="1">
      <alignment horizontal="left" vertical="center" shrinkToFit="1"/>
    </xf>
    <xf numFmtId="0" fontId="16" fillId="0" borderId="52" xfId="0" applyFont="1" applyBorder="1" applyAlignment="1">
      <alignment horizontal="center" vertical="center"/>
    </xf>
    <xf numFmtId="0" fontId="0" fillId="0" borderId="1" xfId="0" applyBorder="1" applyAlignment="1">
      <alignment horizontal="center"/>
    </xf>
    <xf numFmtId="0" fontId="9" fillId="0" borderId="35" xfId="0" applyFont="1" applyBorder="1" applyAlignment="1" applyProtection="1">
      <alignment horizontal="left" vertical="center"/>
      <protection locked="0"/>
    </xf>
    <xf numFmtId="0" fontId="9" fillId="8" borderId="32" xfId="0" applyFont="1" applyFill="1" applyBorder="1" applyAlignment="1" applyProtection="1">
      <alignment horizontal="left" vertical="center"/>
      <protection locked="0"/>
    </xf>
    <xf numFmtId="0" fontId="9" fillId="8" borderId="1" xfId="0" applyFont="1" applyFill="1" applyBorder="1" applyAlignment="1" applyProtection="1">
      <alignment horizontal="left" vertical="center"/>
      <protection locked="0"/>
    </xf>
    <xf numFmtId="0" fontId="8" fillId="0" borderId="35" xfId="0" applyFont="1" applyBorder="1" applyAlignment="1" applyProtection="1">
      <alignment horizontal="center" vertical="center"/>
      <protection locked="0"/>
    </xf>
    <xf numFmtId="0" fontId="9" fillId="7" borderId="1" xfId="0" applyFont="1" applyFill="1" applyBorder="1" applyAlignment="1" applyProtection="1">
      <alignment horizontal="left" vertical="center"/>
      <protection locked="0"/>
    </xf>
    <xf numFmtId="0" fontId="8" fillId="8" borderId="32" xfId="0" applyFont="1" applyFill="1" applyBorder="1" applyAlignment="1" applyProtection="1">
      <alignment horizontal="left" vertical="center"/>
      <protection locked="0"/>
    </xf>
    <xf numFmtId="0" fontId="8" fillId="6" borderId="1" xfId="0" applyFont="1" applyFill="1" applyBorder="1" applyAlignment="1" applyProtection="1">
      <alignment horizontal="center" vertical="center"/>
      <protection locked="0"/>
    </xf>
    <xf numFmtId="0" fontId="8" fillId="6" borderId="1" xfId="0" applyFont="1" applyFill="1" applyBorder="1" applyAlignment="1" applyProtection="1">
      <alignment horizontal="left" vertical="center"/>
      <protection locked="0"/>
    </xf>
    <xf numFmtId="0" fontId="8" fillId="7" borderId="32" xfId="0" applyFont="1" applyFill="1" applyBorder="1" applyAlignment="1" applyProtection="1">
      <alignment horizontal="left" vertical="center"/>
      <protection locked="0"/>
    </xf>
    <xf numFmtId="0" fontId="9" fillId="8" borderId="14" xfId="0" applyFont="1" applyFill="1" applyBorder="1" applyAlignment="1" applyProtection="1">
      <alignment horizontal="left" vertical="center"/>
      <protection locked="0"/>
    </xf>
    <xf numFmtId="0" fontId="0" fillId="0" borderId="2" xfId="0" applyBorder="1" applyAlignment="1">
      <alignment horizontal="center" vertical="center"/>
    </xf>
    <xf numFmtId="0" fontId="0" fillId="0" borderId="50" xfId="0" applyBorder="1" applyAlignment="1">
      <alignment horizontal="left" vertical="center" shrinkToFit="1"/>
    </xf>
    <xf numFmtId="0" fontId="0" fillId="0" borderId="49" xfId="0" applyBorder="1" applyAlignment="1">
      <alignment horizontal="center" vertical="center"/>
    </xf>
    <xf numFmtId="0" fontId="0" fillId="0" borderId="52" xfId="0" applyBorder="1" applyAlignment="1">
      <alignment horizontal="center" vertical="center"/>
    </xf>
    <xf numFmtId="0" fontId="0" fillId="0" borderId="45" xfId="0" applyBorder="1" applyAlignment="1">
      <alignment horizontal="center" vertical="center"/>
    </xf>
    <xf numFmtId="0" fontId="0" fillId="0" borderId="48" xfId="0" applyBorder="1" applyAlignment="1">
      <alignment horizontal="center" vertical="center"/>
    </xf>
    <xf numFmtId="0" fontId="0" fillId="0" borderId="46" xfId="0" applyBorder="1" applyAlignment="1">
      <alignment horizontal="left" vertical="center" shrinkToFit="1"/>
    </xf>
    <xf numFmtId="0" fontId="18" fillId="0" borderId="35" xfId="0" applyFont="1" applyBorder="1" applyAlignment="1">
      <alignment horizontal="center" vertical="center"/>
    </xf>
    <xf numFmtId="0" fontId="18" fillId="0" borderId="57" xfId="0" applyFont="1" applyBorder="1" applyAlignment="1">
      <alignment horizontal="center" vertical="center"/>
    </xf>
    <xf numFmtId="0" fontId="18" fillId="0" borderId="43" xfId="0" applyFont="1" applyBorder="1" applyAlignment="1">
      <alignment horizontal="center" vertical="center"/>
    </xf>
    <xf numFmtId="0" fontId="18" fillId="0" borderId="10" xfId="0" applyFont="1" applyBorder="1" applyAlignment="1">
      <alignment horizontal="center" vertical="center"/>
    </xf>
    <xf numFmtId="0" fontId="18" fillId="0" borderId="4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21" xfId="0" applyFont="1" applyBorder="1" applyAlignment="1">
      <alignment horizontal="center" vertical="center"/>
    </xf>
    <xf numFmtId="0" fontId="18" fillId="0" borderId="22" xfId="0" applyFont="1" applyBorder="1" applyAlignment="1">
      <alignment horizontal="center" vertical="center"/>
    </xf>
    <xf numFmtId="0" fontId="18" fillId="0" borderId="9" xfId="0" applyFont="1" applyBorder="1" applyAlignment="1">
      <alignment horizontal="center" vertical="center"/>
    </xf>
    <xf numFmtId="0" fontId="18" fillId="0" borderId="26" xfId="0" applyFont="1" applyBorder="1" applyAlignment="1">
      <alignment horizontal="center" vertical="center"/>
    </xf>
    <xf numFmtId="0" fontId="18" fillId="0" borderId="56" xfId="0" applyFont="1" applyBorder="1" applyAlignment="1">
      <alignment horizontal="center" vertical="center"/>
    </xf>
    <xf numFmtId="0" fontId="18" fillId="0" borderId="5" xfId="0" applyFont="1" applyBorder="1" applyAlignment="1">
      <alignment horizontal="center" vertical="center"/>
    </xf>
    <xf numFmtId="0" fontId="18" fillId="0" borderId="30" xfId="0" applyFont="1" applyBorder="1" applyAlignment="1">
      <alignment horizontal="center" vertical="center"/>
    </xf>
    <xf numFmtId="0" fontId="18" fillId="0" borderId="20" xfId="0" applyFont="1" applyBorder="1" applyAlignment="1">
      <alignment horizontal="center" vertical="center"/>
    </xf>
    <xf numFmtId="0" fontId="17" fillId="0" borderId="0" xfId="0" applyFont="1" applyAlignment="1">
      <alignment horizontal="center" vertical="center"/>
    </xf>
    <xf numFmtId="0" fontId="18" fillId="0" borderId="34" xfId="0" applyFont="1" applyBorder="1" applyAlignment="1">
      <alignment horizontal="left" vertical="center"/>
    </xf>
    <xf numFmtId="176" fontId="18" fillId="0" borderId="34" xfId="0" applyNumberFormat="1" applyFont="1" applyBorder="1" applyAlignment="1">
      <alignment horizontal="right" vertical="center"/>
    </xf>
    <xf numFmtId="0" fontId="18" fillId="0" borderId="32" xfId="0" applyFont="1" applyBorder="1" applyAlignment="1">
      <alignment horizontal="center" vertical="center"/>
    </xf>
    <xf numFmtId="0" fontId="18" fillId="0" borderId="36" xfId="0" applyFont="1" applyBorder="1" applyAlignment="1">
      <alignment horizontal="center" vertical="center"/>
    </xf>
    <xf numFmtId="0" fontId="18" fillId="0" borderId="43" xfId="0" applyFont="1" applyBorder="1" applyAlignment="1">
      <alignment horizontal="center" vertical="center" wrapText="1"/>
    </xf>
    <xf numFmtId="0" fontId="18" fillId="0" borderId="31" xfId="0" applyFont="1" applyBorder="1" applyAlignment="1">
      <alignment horizontal="center" vertical="center" wrapText="1"/>
    </xf>
    <xf numFmtId="0" fontId="17" fillId="0" borderId="54" xfId="0" applyFont="1" applyBorder="1" applyAlignment="1">
      <alignment horizontal="center" vertical="center"/>
    </xf>
    <xf numFmtId="0" fontId="17" fillId="0" borderId="34" xfId="0" applyFont="1" applyBorder="1" applyAlignment="1">
      <alignment horizontal="center" vertical="center"/>
    </xf>
    <xf numFmtId="0" fontId="18" fillId="0" borderId="31" xfId="0" applyFont="1" applyBorder="1" applyAlignment="1">
      <alignment horizontal="center" vertical="center"/>
    </xf>
    <xf numFmtId="0" fontId="6" fillId="0" borderId="0" xfId="0" applyFont="1" applyAlignment="1">
      <alignment horizontal="center" vertical="center"/>
    </xf>
    <xf numFmtId="0" fontId="6" fillId="0" borderId="34" xfId="0" applyFont="1" applyBorder="1" applyAlignment="1">
      <alignment horizontal="center" vertical="center"/>
    </xf>
    <xf numFmtId="0" fontId="4" fillId="0" borderId="34" xfId="0" applyFont="1" applyBorder="1" applyAlignment="1">
      <alignment horizontal="left" vertical="center"/>
    </xf>
    <xf numFmtId="176" fontId="4" fillId="0" borderId="34" xfId="0" applyNumberFormat="1" applyFont="1" applyBorder="1" applyAlignment="1">
      <alignment horizontal="right" vertical="center"/>
    </xf>
    <xf numFmtId="0" fontId="4" fillId="0" borderId="9" xfId="0" applyFont="1" applyBorder="1" applyAlignment="1">
      <alignment horizontal="center" vertical="center"/>
    </xf>
    <xf numFmtId="0" fontId="4" fillId="0" borderId="26"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8" xfId="0" applyFont="1" applyBorder="1" applyAlignment="1">
      <alignment horizontal="center" vertical="center"/>
    </xf>
    <xf numFmtId="0" fontId="4" fillId="0" borderId="5"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10"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8" fillId="4" borderId="1" xfId="0" applyFont="1" applyFill="1" applyBorder="1" applyAlignment="1">
      <alignment horizontal="center" vertical="center"/>
    </xf>
    <xf numFmtId="0" fontId="11" fillId="2" borderId="14" xfId="0" applyFont="1" applyFill="1" applyBorder="1" applyAlignment="1" applyProtection="1">
      <alignment horizontal="center" vertical="center"/>
      <protection locked="0"/>
    </xf>
    <xf numFmtId="0" fontId="11" fillId="2" borderId="44" xfId="0" applyFont="1" applyFill="1" applyBorder="1" applyAlignment="1" applyProtection="1">
      <alignment horizontal="center" vertical="center"/>
      <protection locked="0"/>
    </xf>
    <xf numFmtId="0" fontId="11" fillId="2" borderId="17" xfId="0" applyFont="1" applyFill="1" applyBorder="1" applyAlignment="1" applyProtection="1">
      <alignment horizontal="center" vertical="center"/>
      <protection locked="0"/>
    </xf>
    <xf numFmtId="0" fontId="18" fillId="0" borderId="53" xfId="0" applyFont="1" applyBorder="1" applyAlignment="1">
      <alignment horizontal="left" vertical="center"/>
    </xf>
    <xf numFmtId="0" fontId="18" fillId="0" borderId="54" xfId="0" applyFont="1" applyBorder="1" applyAlignment="1">
      <alignment horizontal="left" vertical="center"/>
    </xf>
    <xf numFmtId="0" fontId="18" fillId="0" borderId="55" xfId="0" applyFont="1" applyBorder="1" applyAlignment="1">
      <alignment horizontal="left" vertical="center"/>
    </xf>
    <xf numFmtId="0" fontId="15" fillId="0" borderId="34" xfId="0" applyFont="1" applyBorder="1" applyAlignment="1">
      <alignment horizontal="left" vertical="center"/>
    </xf>
    <xf numFmtId="176" fontId="15" fillId="0" borderId="34" xfId="0" applyNumberFormat="1" applyFont="1" applyBorder="1" applyAlignment="1">
      <alignment horizontal="right" vertical="center"/>
    </xf>
    <xf numFmtId="0" fontId="16" fillId="0" borderId="9" xfId="0" applyFont="1" applyBorder="1" applyAlignment="1">
      <alignment horizontal="center" vertical="center" textRotation="255"/>
    </xf>
    <xf numFmtId="0" fontId="16" fillId="0" borderId="26" xfId="0" applyFont="1" applyBorder="1" applyAlignment="1">
      <alignment horizontal="center" vertical="center" textRotation="255"/>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3" fillId="0" borderId="0" xfId="0" applyFont="1" applyAlignment="1">
      <alignment horizontal="center" vertical="center"/>
    </xf>
    <xf numFmtId="0" fontId="16" fillId="0" borderId="31" xfId="0" applyFont="1" applyBorder="1" applyAlignment="1">
      <alignment horizontal="center" vertical="center" textRotation="255"/>
    </xf>
    <xf numFmtId="0" fontId="16" fillId="0" borderId="10" xfId="0" applyFont="1" applyBorder="1" applyAlignment="1">
      <alignment horizontal="center" vertical="center" textRotation="255"/>
    </xf>
    <xf numFmtId="0" fontId="16" fillId="0" borderId="31" xfId="0" applyFont="1" applyBorder="1" applyAlignment="1">
      <alignment horizontal="center" vertical="center"/>
    </xf>
    <xf numFmtId="0" fontId="16" fillId="0" borderId="10" xfId="0" applyFont="1" applyBorder="1" applyAlignment="1">
      <alignment horizontal="center" vertical="center"/>
    </xf>
    <xf numFmtId="0" fontId="16" fillId="0" borderId="26" xfId="0" applyFont="1" applyBorder="1" applyAlignment="1">
      <alignment horizontal="center" vertical="center"/>
    </xf>
    <xf numFmtId="0" fontId="16" fillId="0" borderId="43" xfId="0" applyFont="1" applyBorder="1" applyAlignment="1">
      <alignment horizontal="center" vertical="center"/>
    </xf>
    <xf numFmtId="0" fontId="16" fillId="0" borderId="42" xfId="0" applyFont="1" applyBorder="1" applyAlignment="1">
      <alignment horizontal="center" vertical="center"/>
    </xf>
    <xf numFmtId="0" fontId="16" fillId="0" borderId="31" xfId="0" applyFont="1" applyBorder="1" applyAlignment="1">
      <alignment horizontal="center" vertical="center" textRotation="255" wrapText="1"/>
    </xf>
    <xf numFmtId="0" fontId="16" fillId="0" borderId="43" xfId="0" applyFont="1" applyBorder="1" applyAlignment="1">
      <alignment horizontal="center" vertical="center" textRotation="255" wrapText="1"/>
    </xf>
    <xf numFmtId="0" fontId="16" fillId="0" borderId="42" xfId="0" applyFont="1" applyBorder="1" applyAlignment="1">
      <alignment horizontal="center" vertical="center" textRotation="255"/>
    </xf>
    <xf numFmtId="0" fontId="16" fillId="0" borderId="43" xfId="0" applyFont="1" applyBorder="1" applyAlignment="1">
      <alignment horizontal="center" vertical="center" textRotation="255"/>
    </xf>
    <xf numFmtId="0" fontId="14" fillId="0" borderId="31" xfId="0" applyFont="1" applyBorder="1" applyAlignment="1">
      <alignment horizontal="center" vertical="center"/>
    </xf>
    <xf numFmtId="0" fontId="14" fillId="0" borderId="10" xfId="0" applyFont="1" applyBorder="1" applyAlignment="1">
      <alignment horizontal="center" vertical="center"/>
    </xf>
    <xf numFmtId="0" fontId="14" fillId="0" borderId="26" xfId="0" applyFont="1" applyBorder="1" applyAlignment="1">
      <alignment horizontal="center" vertical="center"/>
    </xf>
    <xf numFmtId="0" fontId="14" fillId="0" borderId="28" xfId="0"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3" fillId="0" borderId="34" xfId="0" applyFont="1" applyBorder="1" applyAlignment="1">
      <alignment horizontal="center" vertical="center"/>
    </xf>
    <xf numFmtId="0" fontId="14" fillId="0" borderId="34" xfId="0" applyFont="1" applyBorder="1" applyAlignment="1">
      <alignment horizontal="left" vertical="center"/>
    </xf>
    <xf numFmtId="176" fontId="14" fillId="0" borderId="34" xfId="0" applyNumberFormat="1" applyFont="1" applyBorder="1" applyAlignment="1">
      <alignment horizontal="right" vertical="center"/>
    </xf>
    <xf numFmtId="0" fontId="14" fillId="0" borderId="9" xfId="0" applyFont="1" applyBorder="1" applyAlignment="1">
      <alignment horizontal="center" vertical="center"/>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30" xfId="0" applyFont="1" applyBorder="1" applyAlignment="1">
      <alignment horizontal="center" vertical="center"/>
    </xf>
  </cellXfs>
  <cellStyles count="1">
    <cellStyle name="標準" xfId="0" builtinId="0"/>
  </cellStyles>
  <dxfs count="98">
    <dxf>
      <font>
        <color auto="1"/>
      </font>
      <fill>
        <patternFill>
          <bgColor rgb="FF92D050"/>
        </patternFill>
      </fill>
    </dxf>
    <dxf>
      <fill>
        <patternFill>
          <bgColor rgb="FF00B0F0"/>
        </patternFill>
      </fill>
    </dxf>
    <dxf>
      <fill>
        <patternFill>
          <bgColor rgb="FFFFFF66"/>
        </patternFill>
      </fill>
    </dxf>
    <dxf>
      <fill>
        <patternFill>
          <bgColor rgb="FFFF9966"/>
        </patternFill>
      </fill>
    </dxf>
    <dxf>
      <fill>
        <patternFill>
          <bgColor rgb="FF9966FF"/>
        </patternFill>
      </fill>
    </dxf>
    <dxf>
      <font>
        <color auto="1"/>
      </font>
      <fill>
        <patternFill>
          <bgColor rgb="FF92D050"/>
        </patternFill>
      </fill>
    </dxf>
    <dxf>
      <fill>
        <patternFill>
          <bgColor rgb="FF00B0F0"/>
        </patternFill>
      </fill>
    </dxf>
    <dxf>
      <fill>
        <patternFill>
          <bgColor rgb="FFFFFF66"/>
        </patternFill>
      </fill>
    </dxf>
    <dxf>
      <fill>
        <patternFill>
          <bgColor rgb="FFFF9966"/>
        </patternFill>
      </fill>
    </dxf>
    <dxf>
      <fill>
        <patternFill>
          <bgColor rgb="FFFF99FF"/>
        </patternFill>
      </fill>
    </dxf>
    <dxf>
      <fill>
        <patternFill>
          <bgColor rgb="FFCCECFF"/>
        </patternFill>
      </fill>
    </dxf>
    <dxf>
      <font>
        <b/>
        <i val="0"/>
        <color rgb="FFFF0000"/>
      </font>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游ゴシック"/>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border outline="0">
        <left style="thin">
          <color indexed="64"/>
        </left>
        <right style="thin">
          <color indexed="64"/>
        </right>
      </border>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游ゴシック"/>
        <family val="3"/>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游ゴシック"/>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border>
      <protection locked="0" hidden="0"/>
    </dxf>
    <dxf>
      <font>
        <b val="0"/>
        <i val="0"/>
        <strike val="0"/>
        <condense val="0"/>
        <extend val="0"/>
        <outline val="0"/>
        <shadow val="0"/>
        <u val="none"/>
        <vertAlign val="baseline"/>
        <sz val="10"/>
        <color theme="1"/>
        <name val="游ゴシック"/>
        <family val="3"/>
        <charset val="128"/>
        <scheme val="none"/>
      </font>
      <alignment horizontal="left" vertical="center" textRotation="0" wrapText="0" indent="0" justifyLastLine="0" shrinkToFit="0" readingOrder="0"/>
      <border diagonalUp="0" diagonalDown="0">
        <left style="thin">
          <color indexed="64"/>
        </left>
        <right/>
        <top style="thin">
          <color indexed="64"/>
        </top>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outline="0">
        <left style="thin">
          <color indexed="64"/>
        </left>
        <right style="thin">
          <color indexed="64"/>
        </right>
      </border>
    </dxf>
    <dxf>
      <font>
        <b val="0"/>
        <i val="0"/>
        <strike val="0"/>
        <condense val="0"/>
        <extend val="0"/>
        <outline val="0"/>
        <shadow val="0"/>
        <u val="none"/>
        <vertAlign val="baseline"/>
        <sz val="10"/>
        <color theme="1"/>
        <name val="游ゴシック"/>
        <family val="3"/>
        <charset val="128"/>
        <scheme val="none"/>
      </font>
      <alignment horizontal="center" vertical="center" textRotation="0" wrapText="0" indent="0" justifyLastLine="0" shrinkToFit="0" readingOrder="0"/>
    </dxf>
    <dxf>
      <font>
        <b/>
        <i val="0"/>
        <strike val="0"/>
        <condense val="0"/>
        <extend val="0"/>
        <outline val="0"/>
        <shadow val="0"/>
        <u val="none"/>
        <vertAlign val="baseline"/>
        <sz val="10"/>
        <color auto="1"/>
        <name val="游ゴシック"/>
        <family val="3"/>
        <charset val="128"/>
        <scheme val="none"/>
      </font>
      <fill>
        <patternFill patternType="solid">
          <fgColor theme="7"/>
          <bgColor theme="7"/>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66"/>
      <color rgb="FFFF9966"/>
      <color rgb="FF33CC33"/>
      <color rgb="FF9966FF"/>
      <color rgb="FF3366FF"/>
      <color rgb="FF3399FF"/>
      <color rgb="FF6699FF"/>
      <color rgb="FFCCE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EFCC84-31F3-4037-B42E-EDA5D6375BD0}" name="テーブル3" displayName="テーブル3" ref="B43:AO87" totalsRowShown="0" headerRowDxfId="97" dataDxfId="96" tableBorderDxfId="95">
  <autoFilter ref="B43:AO87" xr:uid="{3FEFCC84-31F3-4037-B42E-EDA5D6375BD0}"/>
  <sortState xmlns:xlrd2="http://schemas.microsoft.com/office/spreadsheetml/2017/richdata2" ref="B44:AO87">
    <sortCondition ref="D43:D87"/>
  </sortState>
  <tableColumns count="40">
    <tableColumn id="1" xr3:uid="{4033A63A-859A-4E47-A638-64255189286B}" name="Gr" dataDxfId="94"/>
    <tableColumn id="2" xr3:uid="{D3AB3CC7-AD00-45D6-AB4B-3C5D11B7F771}" name="No." dataDxfId="93"/>
    <tableColumn id="3" xr3:uid="{D0CB2A5A-E96B-4E10-AA36-F40EB08E6620}" name="タイプ" dataDxfId="92"/>
    <tableColumn id="4" xr3:uid="{9842F9D0-2870-4195-9B6A-D996C02FD4C8}" name="基地" dataDxfId="91"/>
    <tableColumn id="5" xr3:uid="{42AC4153-E6D6-4337-A83E-DB26B48360D7}" name="部屋" dataDxfId="90"/>
    <tableColumn id="6" xr3:uid="{A1C79986-2FE1-4D5A-996D-26509881419F}" name="氏名" dataDxfId="89"/>
    <tableColumn id="7" xr3:uid="{A960C440-376D-4F2C-BBAE-7F80889BECC9}" name="形態" dataDxfId="88"/>
    <tableColumn id="8" xr3:uid="{B04248EF-4DA4-4725-A00A-AECC85F4C9F9}" name="パターン" dataDxfId="87"/>
    <tableColumn id="9" xr3:uid="{72FE7F81-AB29-44FB-A734-DF622CF80F05}" name="月" dataDxfId="86"/>
    <tableColumn id="10" xr3:uid="{07241D7B-F141-4CD2-9113-3DFB81C8D473}" name="火" dataDxfId="85"/>
    <tableColumn id="11" xr3:uid="{5C3A2DD7-112A-4B74-9112-AD959E49D526}" name="水" dataDxfId="84"/>
    <tableColumn id="12" xr3:uid="{67AAC4E4-0530-452A-96D0-D3218F9BCB0E}" name="木" dataDxfId="83"/>
    <tableColumn id="13" xr3:uid="{1E4DE935-96B0-43AE-8989-F0625584731C}" name="金" dataDxfId="82"/>
    <tableColumn id="14" xr3:uid="{21FD2820-F77E-4704-B802-19A1E4B3DEAC}" name="備考" dataDxfId="81"/>
    <tableColumn id="15" xr3:uid="{C025224F-0191-4CCA-B925-38A9510BA780}" name="三食" dataDxfId="80">
      <calculatedColumnFormula>IF($I44=P$3,IF($F44&gt;14,$F44/100,$F44),"")</calculatedColumnFormula>
    </tableColumn>
    <tableColumn id="16" xr3:uid="{6EE3A700-B77C-43A5-81BE-69200CC75D5E}" name="昼" dataDxfId="79">
      <calculatedColumnFormula>IF($I44=Q$3,IF($F44&gt;14,$F44/100,$F44),"")</calculatedColumnFormula>
    </tableColumn>
    <tableColumn id="39" xr3:uid="{A7477EA4-D990-4BFE-A360-3FB48EC0E3A8}" name="夜" dataDxfId="78">
      <calculatedColumnFormula>IF($I44=R$3,$F44,"")</calculatedColumnFormula>
    </tableColumn>
    <tableColumn id="17" xr3:uid="{0167D824-B2CD-4419-A40D-AE2761D2D5C2}" name="月am" dataDxfId="77">
      <calculatedColumnFormula>IF(J44="AM",IF($F44&gt;14,$F44/100,$F44),"")</calculatedColumnFormula>
    </tableColumn>
    <tableColumn id="18" xr3:uid="{BE87B5A1-F862-4CC2-8C55-7FC469ACB03F}" name="火am" dataDxfId="76">
      <calculatedColumnFormula>IF(K44="AM",IF($F44&gt;14,$F44/100,$F44),"")</calculatedColumnFormula>
    </tableColumn>
    <tableColumn id="19" xr3:uid="{2FB1956D-E458-475F-8A5E-314BA56FD4F5}" name="水am" dataDxfId="75">
      <calculatedColumnFormula>IF(L44="AM",IF($F44&gt;14,$F44/100,$F44),"")</calculatedColumnFormula>
    </tableColumn>
    <tableColumn id="20" xr3:uid="{C5EAABC8-1496-476B-B2B6-4E00E51BD181}" name="木am" dataDxfId="74">
      <calculatedColumnFormula>IF(M44="AM",IF($F44&gt;14,$F44/100,$F44),"")</calculatedColumnFormula>
    </tableColumn>
    <tableColumn id="21" xr3:uid="{1E6FFD1E-AB08-462C-8C56-DFECDF91007E}" name="金am" dataDxfId="73">
      <calculatedColumnFormula>IF(N44="AM",IF($F44&gt;14,$F44/100,$F44),"")</calculatedColumnFormula>
    </tableColumn>
    <tableColumn id="22" xr3:uid="{72430241-C306-4345-B74A-E74DDF776D38}" name="月pm" dataDxfId="72">
      <calculatedColumnFormula>IF(J44="PM",IF($F44&gt;14,$F44/100,$F44),"")</calculatedColumnFormula>
    </tableColumn>
    <tableColumn id="23" xr3:uid="{B1A72C76-9638-47B3-98D6-A1FD16679FAD}" name="火pm" dataDxfId="71">
      <calculatedColumnFormula>IF(K44="PM",IF($F44&gt;14,$F44/100,$F44),"")</calculatedColumnFormula>
    </tableColumn>
    <tableColumn id="24" xr3:uid="{3C00C1C1-2C34-4134-B437-C38BBBC148A4}" name="水pm" dataDxfId="70">
      <calculatedColumnFormula>IF(L44="PM",IF($F44&gt;14,$F44/100,$F44),"")</calculatedColumnFormula>
    </tableColumn>
    <tableColumn id="25" xr3:uid="{99CFB103-D8C4-4964-8EFB-35452009C8A5}" name="木pm" dataDxfId="69">
      <calculatedColumnFormula>IF(M44="PM",IF($F44&gt;14,$F44/100,$F44),"")</calculatedColumnFormula>
    </tableColumn>
    <tableColumn id="26" xr3:uid="{027A5FB5-3BC0-4F66-A4D6-9A6E1A350A58}" name="金pm" dataDxfId="68">
      <calculatedColumnFormula>IF(N44="PM",IF($F44&gt;14,$F44/100,$F44),"")</calculatedColumnFormula>
    </tableColumn>
    <tableColumn id="27" xr3:uid="{C286A928-F47B-4813-B7FE-4F597F86F8FC}" name="三食r" dataDxfId="67">
      <calculatedColumnFormula>IF(P44="","",_xlfn.RANK.EQ(P44,P$44:P$88,1)+COUNTIF(P$44:P44,P44)-1)</calculatedColumnFormula>
    </tableColumn>
    <tableColumn id="28" xr3:uid="{B279E20A-7FC3-4106-9348-D0A521A0427E}" name="昼r" dataDxfId="66">
      <calculatedColumnFormula>IF(Q44="","",_xlfn.RANK.EQ(Q44,Q$44:Q$88,1)+COUNTIF(Q$44:Q44,Q44)-1)</calculatedColumnFormula>
    </tableColumn>
    <tableColumn id="40" xr3:uid="{A4C16DA4-EA08-4F51-A2EF-5B31F3EBADB4}" name="夜r" dataDxfId="65">
      <calculatedColumnFormula>IF(R44="","",_xlfn.RANK.EQ(R44,R$44:R$88,1)+COUNTIF(R$44:R88,R44)-1)</calculatedColumnFormula>
    </tableColumn>
    <tableColumn id="29" xr3:uid="{5ADEC701-2146-4B91-A4BD-35D4AD8CF867}" name="月ra" dataDxfId="64">
      <calculatedColumnFormula>IF(S44="","",_xlfn.RANK.EQ(S44,S$44:S$88,1)+COUNTIF(S$44:S44,S44)-1)</calculatedColumnFormula>
    </tableColumn>
    <tableColumn id="30" xr3:uid="{4052E013-997E-4D66-940D-4BD87006760D}" name="火ra" dataDxfId="63">
      <calculatedColumnFormula>IF(T44="","",_xlfn.RANK.EQ(T44,T$44:T$88,1)+COUNTIF(T$44:T44,T44)-1)</calculatedColumnFormula>
    </tableColumn>
    <tableColumn id="31" xr3:uid="{BC80420E-A072-4F4D-939F-C36FC4804D4F}" name="水ra" dataDxfId="62">
      <calculatedColumnFormula>IF(U44="","",_xlfn.RANK.EQ(U44,U$44:U$88,1)+COUNTIF(U$44:U44,U44)-1)</calculatedColumnFormula>
    </tableColumn>
    <tableColumn id="32" xr3:uid="{45032257-B38C-45F2-A165-A3ECFDC9877B}" name="木ra" dataDxfId="61">
      <calculatedColumnFormula>IF(V44="","",_xlfn.RANK.EQ(V44,V$44:V$88,1)+COUNTIF(V$44:V44,V44)-1)</calculatedColumnFormula>
    </tableColumn>
    <tableColumn id="33" xr3:uid="{D50B396B-88CD-48A4-9510-F0BA083AFDC2}" name="金ra" dataDxfId="60">
      <calculatedColumnFormula>IF(W44="","",_xlfn.RANK.EQ(W44,W$44:W$88,1)+COUNTIF(W$44:W44,W44)-1)</calculatedColumnFormula>
    </tableColumn>
    <tableColumn id="34" xr3:uid="{E5E32849-33A6-4F1C-B5F2-0381F7D2E9FC}" name="月19" dataDxfId="59">
      <calculatedColumnFormula>IF(X44="","",_xlfn.RANK.EQ(X44,X$44:X$88,1)+COUNTIF(X$44:X44,X44)-1)</calculatedColumnFormula>
    </tableColumn>
    <tableColumn id="35" xr3:uid="{D63001B4-0437-4DA9-BE13-61AA473B5192}" name="火20" dataDxfId="58">
      <calculatedColumnFormula>IF(Y44="","",_xlfn.RANK.EQ(Y44,Y$44:Y$88,1)+COUNTIF(Y$44:Y44,Y44)-1)</calculatedColumnFormula>
    </tableColumn>
    <tableColumn id="36" xr3:uid="{428734C5-7380-4FE3-ACB7-FF1901A18D7E}" name="水21" dataDxfId="57">
      <calculatedColumnFormula>IF(Z44="","",_xlfn.RANK.EQ(Z44,Z$44:Z$88,1)+COUNTIF(Z$44:Z44,Z44)-1)</calculatedColumnFormula>
    </tableColumn>
    <tableColumn id="37" xr3:uid="{FC1F367F-C6B9-478C-B597-5C5DCE55EA32}" name="木22" dataDxfId="56">
      <calculatedColumnFormula>IF(AA44="","",_xlfn.RANK.EQ(AA44,AA$44:AA$88,1)+COUNTIF(AA$44:AA44,AA44)-1)</calculatedColumnFormula>
    </tableColumn>
    <tableColumn id="38" xr3:uid="{72007018-8B90-4EE3-95A0-7BC73D0CBF04}" name="金23" dataDxfId="55">
      <calculatedColumnFormula>IF(AB44="","",_xlfn.RANK.EQ(AB44,AB$44:AB$88,1)+COUNTIF(AB$44:AB44,AB44)-1)</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EF2547-95ED-4E94-BDA7-609BC623755F}" name="テーブル1" displayName="テーブル1" ref="B3:AO39" totalsRowShown="0" headerRowDxfId="54" dataDxfId="53" tableBorderDxfId="52">
  <autoFilter ref="B3:AO39" xr:uid="{21EF2547-95ED-4E94-BDA7-609BC623755F}"/>
  <sortState xmlns:xlrd2="http://schemas.microsoft.com/office/spreadsheetml/2017/richdata2" ref="B4:AO37">
    <sortCondition ref="D3:D37"/>
  </sortState>
  <tableColumns count="40">
    <tableColumn id="1" xr3:uid="{06E11D86-2A15-4F40-83E9-5A65699B4F5C}" name="Gr" dataDxfId="51"/>
    <tableColumn id="2" xr3:uid="{569FA75F-B184-4F1E-930D-863122E17C73}" name="No." dataDxfId="50"/>
    <tableColumn id="3" xr3:uid="{42A71369-AD11-495F-A2EC-453A64BF6258}" name="タイプ" dataDxfId="49"/>
    <tableColumn id="4" xr3:uid="{DEA43323-84A1-4851-B90A-5166CE68C700}" name="基地" dataDxfId="48"/>
    <tableColumn id="5" xr3:uid="{A0E39B45-893E-4B5E-A9C0-2BFBCBACABE6}" name="部屋" dataDxfId="47"/>
    <tableColumn id="6" xr3:uid="{304B9C4C-C808-4ADA-8B69-54EDEB0FE04A}" name="氏名" dataDxfId="46"/>
    <tableColumn id="7" xr3:uid="{95530EDE-F828-4FF2-A16E-7036A2D88E81}" name="形態" dataDxfId="45"/>
    <tableColumn id="8" xr3:uid="{597D0ECF-FC5B-4E7E-9A30-722EADB83FE0}" name="パターン" dataDxfId="44"/>
    <tableColumn id="9" xr3:uid="{721A01D5-6DCC-4A33-9FBB-3AF869B67D40}" name="月" dataDxfId="43"/>
    <tableColumn id="10" xr3:uid="{92B37AA5-55A4-45E5-88C8-35A6B224554A}" name="火" dataDxfId="42"/>
    <tableColumn id="11" xr3:uid="{7598A30D-88D9-429C-9D1F-235F0E75E9A9}" name="水" dataDxfId="41"/>
    <tableColumn id="12" xr3:uid="{89E1EFDA-DD85-4DBB-8B93-1156D4858FCE}" name="木" dataDxfId="40"/>
    <tableColumn id="13" xr3:uid="{20F2A606-3EFC-4CE6-BBF2-6D881FCE83CE}" name="金" dataDxfId="39"/>
    <tableColumn id="14" xr3:uid="{56918956-21CC-4E51-AE7A-433934AD1685}" name="2" dataDxfId="38"/>
    <tableColumn id="15" xr3:uid="{DEA00B60-D2D4-4754-A4F3-24773DC815E4}" name="三食" dataDxfId="37">
      <calculatedColumnFormula>IF($I4=P$3,IF($F4&gt;14,$F4/100,$F4),"")</calculatedColumnFormula>
    </tableColumn>
    <tableColumn id="16" xr3:uid="{772D6514-8BDA-4F90-95C9-A9BA9DCE910E}" name="昼" dataDxfId="36">
      <calculatedColumnFormula>IF($I4=Q$3,IF($F4&gt;14,$F4/100,$F4),"")</calculatedColumnFormula>
    </tableColumn>
    <tableColumn id="39" xr3:uid="{B009DA16-02F4-42E2-B375-3D33ED71419B}" name="夜" dataDxfId="35">
      <calculatedColumnFormula>IF($I4=R$3,$F4,"")</calculatedColumnFormula>
    </tableColumn>
    <tableColumn id="17" xr3:uid="{F088DC7C-E1DE-469B-9002-C4E82AD097AD}" name="月am" dataDxfId="34">
      <calculatedColumnFormula>IF(J4="AM",IF($F4&gt;14,$F4/100,$F4),"")</calculatedColumnFormula>
    </tableColumn>
    <tableColumn id="18" xr3:uid="{D4A6F31A-D54B-41DA-85BF-1DC5646ADA09}" name="火am" dataDxfId="33">
      <calculatedColumnFormula>IF(K4="AM",IF($F4&gt;14,$F4/100,$F4),"")</calculatedColumnFormula>
    </tableColumn>
    <tableColumn id="19" xr3:uid="{196ACCB6-7057-4C80-A0D7-9B0BAA531FBA}" name="水am" dataDxfId="32">
      <calculatedColumnFormula>IF(L4="AM",IF($F4&gt;14,$F4/100,$F4),"")</calculatedColumnFormula>
    </tableColumn>
    <tableColumn id="20" xr3:uid="{7D135D50-8DA5-43FB-8E2D-2785067BC58C}" name="木am" dataDxfId="31">
      <calculatedColumnFormula>IF(M4="AM",IF($F4&gt;14,$F4/100,$F4),"")</calculatedColumnFormula>
    </tableColumn>
    <tableColumn id="21" xr3:uid="{4C9EE3FA-94D8-4946-9F1B-468F14DE9878}" name="金am" dataDxfId="30">
      <calculatedColumnFormula>IF(N4="AM",IF($F4&gt;14,$F4/100,$F4),"")</calculatedColumnFormula>
    </tableColumn>
    <tableColumn id="22" xr3:uid="{FB8B4B52-BEBC-4676-9F85-F179E59EFFC3}" name="月pm" dataDxfId="29">
      <calculatedColumnFormula>IF(J4="PM",IF($F4&gt;14,$F4/100,$F4),"")</calculatedColumnFormula>
    </tableColumn>
    <tableColumn id="23" xr3:uid="{2C55F579-8611-4FA5-8DA5-C338C9D2AC7E}" name="火pm" dataDxfId="28">
      <calculatedColumnFormula>IF(K4="PM",IF($F4&gt;14,$F4/100,$F4),"")</calculatedColumnFormula>
    </tableColumn>
    <tableColumn id="24" xr3:uid="{FE4566EF-AA10-4270-88C5-7593478C92F2}" name="水pm" dataDxfId="27">
      <calculatedColumnFormula>IF(L4="PM",IF($F4&gt;14,$F4/100,$F4),"")</calculatedColumnFormula>
    </tableColumn>
    <tableColumn id="25" xr3:uid="{B6362888-C75C-4D82-839D-3285144EE6D6}" name="木pm" dataDxfId="26">
      <calculatedColumnFormula>IF(M4="PM",IF($F4&gt;14,$F4/100,$F4),"")</calculatedColumnFormula>
    </tableColumn>
    <tableColumn id="26" xr3:uid="{EEE4F032-1BAA-4B9A-86D6-1E05E39DEC3B}" name="金pm" dataDxfId="25">
      <calculatedColumnFormula>IF(N4="PM",IF($F4&gt;14,$F4/100,$F4),"")</calculatedColumnFormula>
    </tableColumn>
    <tableColumn id="27" xr3:uid="{A1813207-9CEF-4171-A86D-662B9B3ED2CD}" name="三食r" dataDxfId="24">
      <calculatedColumnFormula>IF(P4="","",_xlfn.RANK.EQ(P4,P$4:P$41,1)+COUNTIF(P4:P$41,P4)-1)</calculatedColumnFormula>
    </tableColumn>
    <tableColumn id="28" xr3:uid="{A1E73C24-465F-41AF-A0BA-58F6F2EE7818}" name="昼r" dataDxfId="23">
      <calculatedColumnFormula>IF(Q4="","",_xlfn.RANK.EQ(Q4,Q$4:Q$41,1)+COUNTIF(Q4:Q$41,Q4)-1)</calculatedColumnFormula>
    </tableColumn>
    <tableColumn id="40" xr3:uid="{B9A098A3-F30E-4701-AB11-40AE21988EA3}" name="夜r" dataDxfId="22">
      <calculatedColumnFormula>IF(R4="","",_xlfn.RANK.EQ(R4,R$4:R$41,1)+COUNTIF(R4:R$41,R4)-1)</calculatedColumnFormula>
    </tableColumn>
    <tableColumn id="29" xr3:uid="{072EFA6D-F3C2-4597-9E87-64A3FE7A7C19}" name="月ra" dataDxfId="21">
      <calculatedColumnFormula>IF(S4="","",_xlfn.RANK.EQ(S4,S$4:S$39,1)+COUNTIF(S4:S$39,S4)-1)</calculatedColumnFormula>
    </tableColumn>
    <tableColumn id="30" xr3:uid="{C63DE4A9-91FF-4962-8F9B-28C8D08CCE11}" name="火ra" dataDxfId="20">
      <calculatedColumnFormula>IF(T4="","",_xlfn.RANK.EQ(T4,T$4:T$39,1)+COUNTIF(T4:T$39,T4)-1)</calculatedColumnFormula>
    </tableColumn>
    <tableColumn id="31" xr3:uid="{80274DD5-C21E-4ECD-858A-5E04946F0B4A}" name="水ra" dataDxfId="19">
      <calculatedColumnFormula>IF(U4="","",_xlfn.RANK.EQ(U4,U$4:U$39,1)+COUNTIF(U4:U$39,U4)-1)</calculatedColumnFormula>
    </tableColumn>
    <tableColumn id="32" xr3:uid="{2E4CD4D3-422B-4F60-9EEB-4CCC40D5D98F}" name="木ra" dataDxfId="18">
      <calculatedColumnFormula>IF(V4="","",_xlfn.RANK.EQ(V4,V$4:V$39,1)+COUNTIF(V4:V$39,V4)-1)</calculatedColumnFormula>
    </tableColumn>
    <tableColumn id="33" xr3:uid="{A4409E36-3DF7-432F-8A04-2D8E960F1873}" name="金ra" dataDxfId="17">
      <calculatedColumnFormula>IF(W4="","",_xlfn.RANK.EQ(W4,W$4:W$39,1)+COUNTIF(W4:W$39,W4)-1)</calculatedColumnFormula>
    </tableColumn>
    <tableColumn id="34" xr3:uid="{1E922983-31FA-4A5E-8B4F-54DFE48CD9AD}" name="月19" dataDxfId="16">
      <calculatedColumnFormula>IF(X4="","",_xlfn.RANK.EQ(X4,X$4:X$41,1)+COUNTIF(X4:X$41,X4)-1)</calculatedColumnFormula>
    </tableColumn>
    <tableColumn id="35" xr3:uid="{0A842D1E-E0D7-4B88-86B7-036C44C974E2}" name="火20" dataDxfId="15">
      <calculatedColumnFormula>IF(Y4="","",_xlfn.RANK.EQ(Y4,Y$4:Y$41,1)+COUNTIF(Y4:Y$41,Y4)-1)</calculatedColumnFormula>
    </tableColumn>
    <tableColumn id="36" xr3:uid="{5836457B-A307-4005-A662-631D8A21E7B7}" name="水21" dataDxfId="14">
      <calculatedColumnFormula>IF(Z4="","",_xlfn.RANK.EQ(Z4,Z$4:Z$41,1)+COUNTIF(Z4:Z$41,Z4)-1)</calculatedColumnFormula>
    </tableColumn>
    <tableColumn id="37" xr3:uid="{660310F8-1B5B-40CF-976A-D409FA96C480}" name="木22" dataDxfId="13">
      <calculatedColumnFormula>IF(AA4="","",_xlfn.RANK.EQ(AA4,AA$4:AA$41,1)+COUNTIF(AA4:AA$41,AA4)-1)</calculatedColumnFormula>
    </tableColumn>
    <tableColumn id="38" xr3:uid="{403EE7FE-56CE-4F6A-96C6-21F671C350F3}" name="金23" dataDxfId="12">
      <calculatedColumnFormula>IF(AB4="","",_xlfn.RANK.EQ(AB4,AB$4:AB$41,1)+COUNTIF(AB4:AB$41,AB4)-1)</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A0569-FDAC-49C6-AEAF-43D21CD205F5}">
  <dimension ref="A1:G20"/>
  <sheetViews>
    <sheetView workbookViewId="0">
      <selection activeCell="G34" sqref="G33:G34"/>
    </sheetView>
  </sheetViews>
  <sheetFormatPr defaultRowHeight="18.75"/>
  <cols>
    <col min="1" max="1" width="15.125" customWidth="1"/>
    <col min="7" max="7" width="28.625" customWidth="1"/>
  </cols>
  <sheetData>
    <row r="1" spans="1:7">
      <c r="A1" t="s">
        <v>123</v>
      </c>
    </row>
    <row r="3" spans="1:7">
      <c r="A3" t="s">
        <v>109</v>
      </c>
    </row>
    <row r="4" spans="1:7">
      <c r="A4" s="46"/>
      <c r="B4" s="46" t="s">
        <v>57</v>
      </c>
      <c r="C4" s="46" t="s">
        <v>107</v>
      </c>
      <c r="D4" s="46" t="s">
        <v>108</v>
      </c>
      <c r="E4" s="46" t="s">
        <v>35</v>
      </c>
      <c r="F4" s="46" t="s">
        <v>25</v>
      </c>
      <c r="G4" s="46" t="s">
        <v>111</v>
      </c>
    </row>
    <row r="5" spans="1:7">
      <c r="A5" s="46" t="s">
        <v>116</v>
      </c>
      <c r="B5" s="46">
        <v>8</v>
      </c>
      <c r="C5" s="46">
        <v>8</v>
      </c>
      <c r="D5" s="46" t="s">
        <v>110</v>
      </c>
      <c r="E5" s="46">
        <v>4</v>
      </c>
      <c r="F5" s="46">
        <v>12</v>
      </c>
      <c r="G5" s="159" t="s">
        <v>112</v>
      </c>
    </row>
    <row r="6" spans="1:7">
      <c r="A6" s="46" t="s">
        <v>117</v>
      </c>
      <c r="B6" s="46">
        <v>12</v>
      </c>
      <c r="C6" s="46">
        <v>8</v>
      </c>
      <c r="D6" s="46">
        <v>3</v>
      </c>
      <c r="E6" s="46">
        <v>8</v>
      </c>
      <c r="F6" s="46">
        <v>15</v>
      </c>
      <c r="G6" s="159" t="s">
        <v>112</v>
      </c>
    </row>
    <row r="7" spans="1:7">
      <c r="A7" s="46" t="s">
        <v>118</v>
      </c>
      <c r="B7" s="46">
        <v>12</v>
      </c>
      <c r="C7" s="46">
        <v>8</v>
      </c>
      <c r="D7" s="46">
        <v>3</v>
      </c>
      <c r="E7" s="46">
        <v>8</v>
      </c>
      <c r="F7" s="46">
        <v>15</v>
      </c>
      <c r="G7" s="159" t="s">
        <v>113</v>
      </c>
    </row>
    <row r="8" spans="1:7">
      <c r="A8" s="45" t="s">
        <v>115</v>
      </c>
      <c r="B8" s="45"/>
      <c r="C8" s="45"/>
      <c r="D8" s="45"/>
      <c r="E8" s="45"/>
      <c r="F8" s="45"/>
    </row>
    <row r="9" spans="1:7">
      <c r="A9" s="45"/>
      <c r="B9" s="45"/>
      <c r="C9" s="45"/>
      <c r="D9" s="45"/>
      <c r="E9" s="45"/>
      <c r="F9" s="45"/>
    </row>
    <row r="10" spans="1:7">
      <c r="A10" s="45"/>
      <c r="B10" s="45"/>
      <c r="C10" s="45"/>
      <c r="D10" s="45"/>
      <c r="E10" s="45"/>
      <c r="F10" s="45"/>
    </row>
    <row r="11" spans="1:7">
      <c r="A11" s="45" t="s">
        <v>119</v>
      </c>
      <c r="B11" s="45"/>
      <c r="C11" s="45"/>
      <c r="D11" s="45"/>
      <c r="E11" s="45"/>
      <c r="F11" s="45"/>
    </row>
    <row r="12" spans="1:7">
      <c r="A12" s="45" t="s">
        <v>120</v>
      </c>
      <c r="B12" s="45"/>
      <c r="C12" s="45"/>
      <c r="D12" s="45"/>
      <c r="E12" s="45"/>
      <c r="F12" s="45"/>
    </row>
    <row r="13" spans="1:7">
      <c r="A13" s="45" t="s">
        <v>121</v>
      </c>
    </row>
    <row r="17" spans="1:1">
      <c r="A17" s="45" t="s">
        <v>114</v>
      </c>
    </row>
    <row r="20" spans="1:1">
      <c r="A20" t="s">
        <v>122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768A0-C89A-409D-9F33-1F8303621910}">
  <dimension ref="A1:Q80"/>
  <sheetViews>
    <sheetView workbookViewId="0">
      <selection activeCell="I8" sqref="I8"/>
    </sheetView>
  </sheetViews>
  <sheetFormatPr defaultRowHeight="27" customHeight="1"/>
  <cols>
    <col min="1" max="2" width="6.625" style="1" customWidth="1"/>
    <col min="3" max="3" width="18.625" style="1" customWidth="1"/>
    <col min="4" max="4" width="4.125" style="1" bestFit="1" customWidth="1"/>
    <col min="5" max="5" width="6.625" style="1" customWidth="1"/>
    <col min="6" max="6" width="1.625" style="1" customWidth="1"/>
    <col min="7" max="8" width="6.625" style="1" customWidth="1"/>
    <col min="9" max="9" width="18.625" style="1" customWidth="1"/>
    <col min="10" max="10" width="4.125" style="1" bestFit="1" customWidth="1"/>
    <col min="11" max="11" width="6.625" style="1" customWidth="1"/>
    <col min="12" max="12" width="1.625" style="1" customWidth="1"/>
    <col min="13" max="14" width="6.625" style="1" customWidth="1"/>
    <col min="15" max="15" width="18.625" style="1" customWidth="1"/>
    <col min="16" max="16" width="4.125" style="1" bestFit="1" customWidth="1"/>
    <col min="17" max="17" width="6.625" style="1" customWidth="1"/>
    <col min="18" max="16384" width="9" style="1"/>
  </cols>
  <sheetData>
    <row r="1" spans="1:17" ht="27" customHeight="1">
      <c r="A1" s="23"/>
      <c r="B1" s="23"/>
      <c r="C1" s="23"/>
      <c r="D1" s="23"/>
      <c r="E1" s="23"/>
      <c r="F1" s="23"/>
      <c r="G1" s="202" t="s">
        <v>40</v>
      </c>
      <c r="H1" s="202"/>
      <c r="I1" s="202"/>
      <c r="J1" s="202"/>
      <c r="K1" s="202"/>
      <c r="L1" s="23"/>
      <c r="M1" s="23"/>
      <c r="N1" s="23"/>
      <c r="O1" s="23"/>
      <c r="P1" s="23"/>
      <c r="Q1" s="23"/>
    </row>
    <row r="2" spans="1:17" ht="27" customHeight="1" thickBot="1">
      <c r="A2" s="204" t="s">
        <v>50</v>
      </c>
      <c r="B2" s="204"/>
      <c r="C2" s="204"/>
      <c r="D2" s="204"/>
      <c r="E2" s="204"/>
      <c r="F2" s="23"/>
      <c r="G2" s="203"/>
      <c r="H2" s="203"/>
      <c r="I2" s="203"/>
      <c r="J2" s="203"/>
      <c r="K2" s="203"/>
      <c r="L2" s="23"/>
      <c r="M2" s="205">
        <f>報告用!$O$2</f>
        <v>46106</v>
      </c>
      <c r="N2" s="205"/>
      <c r="O2" s="205"/>
      <c r="P2" s="205"/>
      <c r="Q2" s="205"/>
    </row>
    <row r="3" spans="1:17" ht="27" customHeight="1">
      <c r="A3" s="206" t="s">
        <v>31</v>
      </c>
      <c r="B3" s="208" t="s">
        <v>36</v>
      </c>
      <c r="C3" s="208"/>
      <c r="D3" s="208"/>
      <c r="E3" s="209"/>
      <c r="F3" s="2"/>
      <c r="G3" s="206" t="s">
        <v>31</v>
      </c>
      <c r="H3" s="208" t="s">
        <v>9</v>
      </c>
      <c r="I3" s="208"/>
      <c r="J3" s="208"/>
      <c r="K3" s="209"/>
      <c r="L3" s="3"/>
      <c r="M3" s="206" t="s">
        <v>31</v>
      </c>
      <c r="N3" s="208" t="s">
        <v>10</v>
      </c>
      <c r="O3" s="208"/>
      <c r="P3" s="208"/>
      <c r="Q3" s="209"/>
    </row>
    <row r="4" spans="1:17" ht="27" customHeight="1" thickBot="1">
      <c r="A4" s="207"/>
      <c r="B4" s="4" t="s">
        <v>18</v>
      </c>
      <c r="C4" s="210" t="s">
        <v>17</v>
      </c>
      <c r="D4" s="211"/>
      <c r="E4" s="5" t="s">
        <v>30</v>
      </c>
      <c r="F4" s="2"/>
      <c r="G4" s="207"/>
      <c r="H4" s="4" t="s">
        <v>18</v>
      </c>
      <c r="I4" s="210" t="s">
        <v>17</v>
      </c>
      <c r="J4" s="211"/>
      <c r="K4" s="5" t="s">
        <v>30</v>
      </c>
      <c r="L4" s="3"/>
      <c r="M4" s="207"/>
      <c r="N4" s="4" t="s">
        <v>18</v>
      </c>
      <c r="O4" s="210" t="s">
        <v>17</v>
      </c>
      <c r="P4" s="211"/>
      <c r="Q4" s="5" t="s">
        <v>30</v>
      </c>
    </row>
    <row r="5" spans="1:17" ht="27" customHeight="1" thickTop="1">
      <c r="A5" s="212" t="s">
        <v>32</v>
      </c>
      <c r="B5" s="49">
        <f>_xlfn.XLOOKUP(ROW(B5)-ROW(B$4),報告用!$AC$4:$AC$39,報告用!F$4:F$39,"",FALSE)</f>
        <v>18</v>
      </c>
      <c r="C5" s="48" t="str">
        <f>_xlfn.XLOOKUP(ROW(C5)-ROW(C$4),報告用!$AC$4:$AC$39,報告用!G$4:G$39,"",FALSE)</f>
        <v>吉井　用子</v>
      </c>
      <c r="D5" s="7" t="str">
        <f>IF(C5="","","様")</f>
        <v>様</v>
      </c>
      <c r="E5" s="50" t="str">
        <f>IF(_xlfn.XLOOKUP(ROW(E5)-ROW(E$4),報告用!$AC$4:$AC$39,報告用!E$4:E$39,"",FALSE)=B5,"",_xlfn.XLOOKUP(ROW(E5)-ROW(E$4),報告用!$AC$4:$AC$39,報告用!E$4:E$39,"",FALSE))</f>
        <v/>
      </c>
      <c r="F5" s="2"/>
      <c r="G5" s="215" t="s">
        <v>35</v>
      </c>
      <c r="H5" s="49">
        <f>_xlfn.XLOOKUP(ROW(H5)-ROW(H$4),報告用!$AF$4:$AF$39,報告用!$F$4:$F$39,"",FALSE)</f>
        <v>15</v>
      </c>
      <c r="I5" s="48" t="str">
        <f>_xlfn.XLOOKUP(ROW(I5)-ROW(I$4),報告用!$AF$4:$AF$39,報告用!$G$4:$G$39,"",FALSE)</f>
        <v>志村とも子</v>
      </c>
      <c r="J5" s="7" t="str">
        <f t="shared" ref="J5:J20" si="0">IF(I5="","","様")</f>
        <v>様</v>
      </c>
      <c r="K5" s="50" t="str">
        <f>IF(_xlfn.XLOOKUP(ROW(K5)-ROW(K$4),報告用!$AF$4:$AF$39,報告用!$E$4:$E$39,"",FALSE)=H5,"",_xlfn.XLOOKUP(ROW(K5)-ROW(K$4),報告用!$AF$4:$AF$39,報告用!$E$4:$E$39,"",FALSE))</f>
        <v/>
      </c>
      <c r="L5" s="3"/>
      <c r="M5" s="215" t="s">
        <v>35</v>
      </c>
      <c r="N5" s="49">
        <f>_xlfn.XLOOKUP(ROW(N5)-ROW(N$4),報告用!$AG$4:$AG$39,報告用!$F$4:$F$39,"",FALSE)</f>
        <v>15</v>
      </c>
      <c r="O5" s="48" t="str">
        <f>_xlfn.XLOOKUP(ROW(O5)-ROW(O$4),報告用!$AG$4:$AG$39,報告用!$G$4:$G$39,"",FALSE)</f>
        <v>志村とも子</v>
      </c>
      <c r="P5" s="7" t="str">
        <f t="shared" ref="P5:P20" si="1">IF(O5="","","様")</f>
        <v>様</v>
      </c>
      <c r="Q5" s="50" t="str">
        <f>IF(_xlfn.XLOOKUP(ROW(Q5)-ROW(Q$4),報告用!$AG$4:$AG$39,報告用!$E$4:$E$39,"",FALSE)=N5,"",_xlfn.XLOOKUP(ROW(Q5)-ROW(Q$4),報告用!$AG$4:$AG$39,報告用!$E$4:$E$39,"",FALSE))</f>
        <v/>
      </c>
    </row>
    <row r="6" spans="1:17" ht="27" customHeight="1">
      <c r="A6" s="213"/>
      <c r="B6" s="46">
        <f>_xlfn.XLOOKUP(ROW(B6)-ROW(B$4),報告用!$AC$4:$AC$39,報告用!F$4:F$39,"",FALSE)</f>
        <v>20</v>
      </c>
      <c r="C6" s="54" t="str">
        <f>_xlfn.XLOOKUP(ROW(C6)-ROW(C$4),報告用!$AC$4:$AC$39,報告用!G$4:G$39,"",FALSE)</f>
        <v>★上條　礼子</v>
      </c>
      <c r="D6" s="10" t="str">
        <f t="shared" ref="D6:D20" si="2">IF(C6="","","様")</f>
        <v>様</v>
      </c>
      <c r="E6" s="47" t="str">
        <f>IF(_xlfn.XLOOKUP(ROW(E6)-ROW(E$4),報告用!$AC$4:$AC$39,報告用!E$4:E$39,"",FALSE)=B6,"",_xlfn.XLOOKUP(ROW(E6)-ROW(E$4),報告用!$AC$4:$AC$39,報告用!E$4:E$39,"",FALSE))</f>
        <v/>
      </c>
      <c r="F6" s="2"/>
      <c r="G6" s="216"/>
      <c r="H6" s="46">
        <f>_xlfn.XLOOKUP(ROW(H6)-ROW(H$4),報告用!$AF$4:$AF$39,報告用!$F$4:$F$39,"",FALSE)</f>
        <v>15</v>
      </c>
      <c r="I6" s="54" t="str">
        <f>_xlfn.XLOOKUP(ROW(I6)-ROW(I$4),報告用!$AF$4:$AF$39,報告用!$G$4:$G$39,"",FALSE)</f>
        <v>飯室　純江</v>
      </c>
      <c r="J6" s="10" t="str">
        <f t="shared" si="0"/>
        <v>様</v>
      </c>
      <c r="K6" s="47" t="str">
        <f>IF(_xlfn.XLOOKUP(ROW(K6)-ROW(K$4),報告用!$AF$4:$AF$39,報告用!$E$4:$E$39,"",FALSE)=H6,"",_xlfn.XLOOKUP(ROW(K6)-ROW(K$4),報告用!$AF$4:$AF$39,報告用!$E$4:$E$39,"",FALSE))</f>
        <v/>
      </c>
      <c r="L6" s="3"/>
      <c r="M6" s="216"/>
      <c r="N6" s="46">
        <f>_xlfn.XLOOKUP(ROW(N6)-ROW(N$4),報告用!$AG$4:$AG$39,報告用!$F$4:$F$39,"",FALSE)</f>
        <v>15</v>
      </c>
      <c r="O6" s="54" t="str">
        <f>_xlfn.XLOOKUP(ROW(O6)-ROW(O$4),報告用!$AG$4:$AG$39,報告用!$G$4:$G$39,"",FALSE)</f>
        <v>望月　美希</v>
      </c>
      <c r="P6" s="10" t="str">
        <f t="shared" si="1"/>
        <v>様</v>
      </c>
      <c r="Q6" s="47" t="str">
        <f>IF(_xlfn.XLOOKUP(ROW(Q6)-ROW(Q$4),報告用!$AG$4:$AG$39,報告用!$E$4:$E$39,"",FALSE)=N6,"",_xlfn.XLOOKUP(ROW(Q6)-ROW(Q$4),報告用!$AG$4:$AG$39,報告用!$E$4:$E$39,"",FALSE))</f>
        <v/>
      </c>
    </row>
    <row r="7" spans="1:17" ht="27" customHeight="1">
      <c r="A7" s="213"/>
      <c r="B7" s="46" t="str">
        <f>_xlfn.XLOOKUP(ROW(B7)-ROW(B$4),報告用!$AC$4:$AC$39,報告用!F$4:F$39,"",FALSE)</f>
        <v/>
      </c>
      <c r="C7" s="54" t="str">
        <f>_xlfn.XLOOKUP(ROW(C7)-ROW(C$4),報告用!$AC$4:$AC$39,報告用!G$4:G$39,"",FALSE)</f>
        <v/>
      </c>
      <c r="D7" s="10" t="str">
        <f t="shared" si="2"/>
        <v/>
      </c>
      <c r="E7" s="47" t="str">
        <f>IF(_xlfn.XLOOKUP(ROW(E7)-ROW(E$4),報告用!$AC$4:$AC$39,報告用!E$4:E$39,"",FALSE)=B7,"",_xlfn.XLOOKUP(ROW(E7)-ROW(E$4),報告用!$AC$4:$AC$39,報告用!E$4:E$39,"",FALSE))</f>
        <v/>
      </c>
      <c r="F7" s="2"/>
      <c r="G7" s="216"/>
      <c r="H7" s="46">
        <f>_xlfn.XLOOKUP(ROW(H7)-ROW(H$4),報告用!$AF$4:$AF$39,報告用!$F$4:$F$39,"",FALSE)</f>
        <v>16</v>
      </c>
      <c r="I7" s="54" t="str">
        <f>_xlfn.XLOOKUP(ROW(I7)-ROW(I$4),報告用!$AF$4:$AF$39,報告用!$G$4:$G$39,"",FALSE)</f>
        <v>里吉　松子</v>
      </c>
      <c r="J7" s="10" t="str">
        <f t="shared" si="0"/>
        <v>様</v>
      </c>
      <c r="K7" s="47" t="str">
        <f>IF(_xlfn.XLOOKUP(ROW(K7)-ROW(K$4),報告用!$AF$4:$AF$39,報告用!$E$4:$E$39,"",FALSE)=H7,"",_xlfn.XLOOKUP(ROW(K7)-ROW(K$4),報告用!$AF$4:$AF$39,報告用!$E$4:$E$39,"",FALSE))</f>
        <v/>
      </c>
      <c r="L7" s="3"/>
      <c r="M7" s="216"/>
      <c r="N7" s="46">
        <f>_xlfn.XLOOKUP(ROW(N7)-ROW(N$4),報告用!$AG$4:$AG$39,報告用!$F$4:$F$39,"",FALSE)</f>
        <v>16</v>
      </c>
      <c r="O7" s="54" t="str">
        <f>_xlfn.XLOOKUP(ROW(O7)-ROW(O$4),報告用!$AG$4:$AG$39,報告用!$G$4:$G$39,"",FALSE)</f>
        <v>里吉　松子</v>
      </c>
      <c r="P7" s="10" t="str">
        <f t="shared" si="1"/>
        <v>様</v>
      </c>
      <c r="Q7" s="47" t="str">
        <f>IF(_xlfn.XLOOKUP(ROW(Q7)-ROW(Q$4),報告用!$AG$4:$AG$39,報告用!$E$4:$E$39,"",FALSE)=N7,"",_xlfn.XLOOKUP(ROW(Q7)-ROW(Q$4),報告用!$AG$4:$AG$39,報告用!$E$4:$E$39,"",FALSE))</f>
        <v/>
      </c>
    </row>
    <row r="8" spans="1:17" ht="27" customHeight="1" thickBot="1">
      <c r="A8" s="213"/>
      <c r="B8" s="46" t="str">
        <f>_xlfn.XLOOKUP(ROW(B8)-ROW(B$4),報告用!$AC$4:$AC$39,報告用!F$4:F$39,"",FALSE)</f>
        <v/>
      </c>
      <c r="C8" s="54" t="str">
        <f>_xlfn.XLOOKUP(ROW(C8)-ROW(C$4),報告用!$AC$4:$AC$39,報告用!G$4:G$39,"",FALSE)</f>
        <v/>
      </c>
      <c r="D8" s="10" t="str">
        <f t="shared" si="2"/>
        <v/>
      </c>
      <c r="E8" s="47" t="str">
        <f>IF(_xlfn.XLOOKUP(ROW(E8)-ROW(E$4),報告用!$AC$4:$AC$39,報告用!E$4:E$39,"",FALSE)=B8,"",_xlfn.XLOOKUP(ROW(E8)-ROW(E$4),報告用!$AC$4:$AC$39,報告用!E$4:E$39,"",FALSE))</f>
        <v/>
      </c>
      <c r="F8" s="2"/>
      <c r="G8" s="207"/>
      <c r="H8" s="52">
        <f>_xlfn.XLOOKUP(ROW(H8)-ROW(H$4),報告用!$AF$4:$AF$39,報告用!$F$4:$F$39,"",FALSE)</f>
        <v>16</v>
      </c>
      <c r="I8" s="51" t="str">
        <f>_xlfn.XLOOKUP(ROW(I8)-ROW(I$4),報告用!$AF$4:$AF$39,報告用!$G$4:$G$39,"",FALSE)</f>
        <v>森　たい子</v>
      </c>
      <c r="J8" s="13" t="str">
        <f t="shared" si="0"/>
        <v>様</v>
      </c>
      <c r="K8" s="53" t="str">
        <f>IF(_xlfn.XLOOKUP(ROW(K8)-ROW(K$4),報告用!$AF$4:$AF$39,報告用!$E$4:$E$39,"",FALSE)=H8,"",_xlfn.XLOOKUP(ROW(K8)-ROW(K$4),報告用!$AF$4:$AF$39,報告用!$E$4:$E$39,"",FALSE))</f>
        <v/>
      </c>
      <c r="L8" s="3"/>
      <c r="M8" s="207"/>
      <c r="N8" s="52">
        <f>_xlfn.XLOOKUP(ROW(N8)-ROW(N$4),報告用!$AG$4:$AG$39,報告用!$F$4:$F$39,"",FALSE)</f>
        <v>16</v>
      </c>
      <c r="O8" s="51" t="str">
        <f>_xlfn.XLOOKUP(ROW(O8)-ROW(O$4),報告用!$AG$4:$AG$39,報告用!$G$4:$G$39,"",FALSE)</f>
        <v>森　たい子</v>
      </c>
      <c r="P8" s="13" t="str">
        <f t="shared" si="1"/>
        <v>様</v>
      </c>
      <c r="Q8" s="53" t="str">
        <f>IF(_xlfn.XLOOKUP(ROW(Q8)-ROW(Q$4),報告用!$AG$4:$AG$39,報告用!$E$4:$E$39,"",FALSE)=N8,"",_xlfn.XLOOKUP(ROW(Q8)-ROW(Q$4),報告用!$AG$4:$AG$39,報告用!$E$4:$E$39,"",FALSE))</f>
        <v/>
      </c>
    </row>
    <row r="9" spans="1:17" ht="27" customHeight="1" thickTop="1">
      <c r="A9" s="213"/>
      <c r="B9" s="46" t="str">
        <f>_xlfn.XLOOKUP(ROW(B9)-ROW(B$4),報告用!$AC$4:$AC$39,報告用!F$4:F$39,"",FALSE)</f>
        <v/>
      </c>
      <c r="C9" s="54" t="str">
        <f>_xlfn.XLOOKUP(ROW(C9)-ROW(C$4),報告用!$AC$4:$AC$39,報告用!G$4:G$39,"",FALSE)</f>
        <v/>
      </c>
      <c r="D9" s="10" t="str">
        <f t="shared" si="2"/>
        <v/>
      </c>
      <c r="E9" s="47" t="str">
        <f>IF(_xlfn.XLOOKUP(ROW(E9)-ROW(E$4),報告用!$AC$4:$AC$39,報告用!E$4:E$39,"",FALSE)=B9,"",_xlfn.XLOOKUP(ROW(E9)-ROW(E$4),報告用!$AC$4:$AC$39,報告用!E$4:E$39,"",FALSE))</f>
        <v/>
      </c>
      <c r="F9" s="2"/>
      <c r="G9" s="213" t="s">
        <v>25</v>
      </c>
      <c r="H9" s="170">
        <f>_xlfn.XLOOKUP(ROW(H9)-ROW(H$8),報告用!$AK$4:$AK$39,報告用!$F$4:$F$39,"",FALSE)</f>
        <v>15</v>
      </c>
      <c r="I9" s="140" t="str">
        <f>_xlfn.XLOOKUP(ROW(I9)-ROW(I$8),報告用!$AK$4:$AK$39,報告用!$G$4:$G$39,"",FALSE)</f>
        <v>志村とも子</v>
      </c>
      <c r="J9" s="16" t="str">
        <f t="shared" si="0"/>
        <v>様</v>
      </c>
      <c r="K9" s="55" t="str">
        <f>IF(_xlfn.XLOOKUP(ROW(K9)-ROW(K$8),報告用!$AK$4:$AK$39,報告用!$E$4:$E$39,"",FALSE)=H9,"",_xlfn.XLOOKUP(ROW(K9)-ROW(K$8),報告用!$AK$4:$AK$39,報告用!$E$4:$E$39,"",FALSE))</f>
        <v/>
      </c>
      <c r="L9" s="3"/>
      <c r="M9" s="213" t="s">
        <v>25</v>
      </c>
      <c r="N9" s="170">
        <f>_xlfn.XLOOKUP(ROW(N9)-ROW(N$8),報告用!$AL$4:$AL$39,報告用!$F$4:$F$39,"",FALSE)</f>
        <v>15</v>
      </c>
      <c r="O9" s="140" t="str">
        <f>_xlfn.XLOOKUP(ROW(O9)-ROW(O$8),報告用!$AL$4:$AL$39,報告用!$G$4:$G$39,"",FALSE)</f>
        <v>志村とも子</v>
      </c>
      <c r="P9" s="16" t="str">
        <f t="shared" si="1"/>
        <v>様</v>
      </c>
      <c r="Q9" s="55" t="str">
        <f>IF(_xlfn.XLOOKUP(ROW(Q9)-ROW(Q$8),報告用!$AL$4:$AL$39,報告用!$E$4:$E$39,"",FALSE)=N9,"",_xlfn.XLOOKUP(ROW(Q9)-ROW(Q$8),報告用!$AL$4:$AL$39,報告用!$E$4:$E$39,"",FALSE))</f>
        <v/>
      </c>
    </row>
    <row r="10" spans="1:17" ht="27" customHeight="1">
      <c r="A10" s="213"/>
      <c r="B10" s="46" t="str">
        <f>_xlfn.XLOOKUP(ROW(B10)-ROW(B$4),報告用!$AC$4:$AC$39,報告用!F$4:F$39,"",FALSE)</f>
        <v/>
      </c>
      <c r="C10" s="54" t="str">
        <f>_xlfn.XLOOKUP(ROW(C10)-ROW(C$4),報告用!$AC$4:$AC$39,報告用!G$4:G$39,"",FALSE)</f>
        <v/>
      </c>
      <c r="D10" s="10" t="str">
        <f t="shared" si="2"/>
        <v/>
      </c>
      <c r="E10" s="47" t="str">
        <f>IF(_xlfn.XLOOKUP(ROW(E10)-ROW(E$4),報告用!$AC$4:$AC$39,報告用!E$4:E$39,"",FALSE)=B10,"",_xlfn.XLOOKUP(ROW(E10)-ROW(E$4),報告用!$AC$4:$AC$39,報告用!E$4:E$39,"",FALSE))</f>
        <v/>
      </c>
      <c r="F10" s="2"/>
      <c r="G10" s="213"/>
      <c r="H10" s="46">
        <f>_xlfn.XLOOKUP(ROW(H10)-ROW(H$8),報告用!$AK$4:$AK$39,報告用!$F$4:$F$39,"",FALSE)</f>
        <v>15</v>
      </c>
      <c r="I10" s="54" t="str">
        <f>_xlfn.XLOOKUP(ROW(I10)-ROW(I$8),報告用!$AK$4:$AK$39,報告用!$G$4:$G$39,"",FALSE)</f>
        <v>佐藤　亜美</v>
      </c>
      <c r="J10" s="10" t="str">
        <f t="shared" si="0"/>
        <v>様</v>
      </c>
      <c r="K10" s="47" t="str">
        <f>IF(_xlfn.XLOOKUP(ROW(K10)-ROW(K$8),報告用!$AK$4:$AK$39,報告用!$E$4:$E$39,"",FALSE)=H10,"",_xlfn.XLOOKUP(ROW(K10)-ROW(K$8),報告用!$AK$4:$AK$39,報告用!$E$4:$E$39,"",FALSE))</f>
        <v/>
      </c>
      <c r="L10" s="3"/>
      <c r="M10" s="213"/>
      <c r="N10" s="46">
        <f>_xlfn.XLOOKUP(ROW(N10)-ROW(N$8),報告用!$AL$4:$AL$39,報告用!$F$4:$F$39,"",FALSE)</f>
        <v>15</v>
      </c>
      <c r="O10" s="54" t="str">
        <f>_xlfn.XLOOKUP(ROW(O10)-ROW(O$8),報告用!$AL$4:$AL$39,報告用!$G$4:$G$39,"",FALSE)</f>
        <v>佐藤　亜美</v>
      </c>
      <c r="P10" s="10" t="str">
        <f t="shared" si="1"/>
        <v>様</v>
      </c>
      <c r="Q10" s="47" t="str">
        <f>IF(_xlfn.XLOOKUP(ROW(Q10)-ROW(Q$8),報告用!$AL$4:$AL$39,報告用!$E$4:$E$39,"",FALSE)=N10,"",_xlfn.XLOOKUP(ROW(Q10)-ROW(Q$8),報告用!$AL$4:$AL$39,報告用!$E$4:$E$39,"",FALSE))</f>
        <v/>
      </c>
    </row>
    <row r="11" spans="1:17" ht="27" customHeight="1">
      <c r="A11" s="213"/>
      <c r="B11" s="46" t="str">
        <f>_xlfn.XLOOKUP(ROW(B11)-ROW(B$4),報告用!$AC$4:$AC$39,報告用!F$4:F$39,"",FALSE)</f>
        <v/>
      </c>
      <c r="C11" s="54" t="str">
        <f>_xlfn.XLOOKUP(ROW(C11)-ROW(C$4),報告用!$AC$4:$AC$39,報告用!G$4:G$39,"",FALSE)</f>
        <v/>
      </c>
      <c r="D11" s="10" t="str">
        <f t="shared" si="2"/>
        <v/>
      </c>
      <c r="E11" s="47" t="str">
        <f>IF(_xlfn.XLOOKUP(ROW(E11)-ROW(E$4),報告用!$AC$4:$AC$39,報告用!E$4:E$39,"",FALSE)=B11,"",_xlfn.XLOOKUP(ROW(E11)-ROW(E$4),報告用!$AC$4:$AC$39,報告用!E$4:E$39,"",FALSE))</f>
        <v/>
      </c>
      <c r="F11" s="2"/>
      <c r="G11" s="213"/>
      <c r="H11" s="46">
        <f>_xlfn.XLOOKUP(ROW(H11)-ROW(H$8),報告用!$AK$4:$AK$39,報告用!$F$4:$F$39,"",FALSE)</f>
        <v>16</v>
      </c>
      <c r="I11" s="54" t="str">
        <f>_xlfn.XLOOKUP(ROW(I11)-ROW(I$8),報告用!$AK$4:$AK$39,報告用!$G$4:$G$39,"",FALSE)</f>
        <v>笠井　京子</v>
      </c>
      <c r="J11" s="10" t="str">
        <f t="shared" si="0"/>
        <v>様</v>
      </c>
      <c r="K11" s="47" t="str">
        <f>IF(_xlfn.XLOOKUP(ROW(K11)-ROW(K$8),報告用!$AK$4:$AK$39,報告用!$E$4:$E$39,"",FALSE)=H11,"",_xlfn.XLOOKUP(ROW(K11)-ROW(K$8),報告用!$AK$4:$AK$39,報告用!$E$4:$E$39,"",FALSE))</f>
        <v/>
      </c>
      <c r="L11" s="3"/>
      <c r="M11" s="213"/>
      <c r="N11" s="46">
        <f>_xlfn.XLOOKUP(ROW(N11)-ROW(N$8),報告用!$AL$4:$AL$39,報告用!$F$4:$F$39,"",FALSE)</f>
        <v>16</v>
      </c>
      <c r="O11" s="54" t="str">
        <f>_xlfn.XLOOKUP(ROW(O11)-ROW(O$8),報告用!$AL$4:$AL$39,報告用!$G$4:$G$39,"",FALSE)</f>
        <v>牛山　はつ子</v>
      </c>
      <c r="P11" s="10" t="str">
        <f t="shared" si="1"/>
        <v>様</v>
      </c>
      <c r="Q11" s="47" t="str">
        <f>IF(_xlfn.XLOOKUP(ROW(Q11)-ROW(Q$8),報告用!$AL$4:$AL$39,報告用!$E$4:$E$39,"",FALSE)=N11,"",_xlfn.XLOOKUP(ROW(Q11)-ROW(Q$8),報告用!$AL$4:$AL$39,報告用!$E$4:$E$39,"",FALSE))</f>
        <v/>
      </c>
    </row>
    <row r="12" spans="1:17" ht="27" customHeight="1" thickBot="1">
      <c r="A12" s="214"/>
      <c r="B12" s="52" t="str">
        <f>_xlfn.XLOOKUP(ROW(B12)-ROW(B$4),報告用!$AC$4:$AC$39,報告用!F$4:F$39,"",FALSE)</f>
        <v/>
      </c>
      <c r="C12" s="51" t="str">
        <f>_xlfn.XLOOKUP(ROW(C12)-ROW(C$4),報告用!$AC$4:$AC$39,報告用!G$4:G$39,"",FALSE)</f>
        <v/>
      </c>
      <c r="D12" s="13" t="str">
        <f t="shared" si="2"/>
        <v/>
      </c>
      <c r="E12" s="53" t="str">
        <f>IF(_xlfn.XLOOKUP(ROW(E12)-ROW(E$4),報告用!$AC$4:$AC$39,報告用!E$4:E$39,"",FALSE)=B12,"",_xlfn.XLOOKUP(ROW(E12)-ROW(E$4),報告用!$AC$4:$AC$39,報告用!E$4:E$39,"",FALSE))</f>
        <v/>
      </c>
      <c r="F12" s="2"/>
      <c r="G12" s="213"/>
      <c r="H12" s="46">
        <f>_xlfn.XLOOKUP(ROW(H12)-ROW(H$8),報告用!$AK$4:$AK$39,報告用!$F$4:$F$39,"",FALSE)</f>
        <v>16</v>
      </c>
      <c r="I12" s="54" t="str">
        <f>_xlfn.XLOOKUP(ROW(I12)-ROW(I$8),報告用!$AK$4:$AK$39,報告用!$G$4:$G$39,"",FALSE)</f>
        <v>牛山　はつ子</v>
      </c>
      <c r="J12" s="10" t="str">
        <f t="shared" si="0"/>
        <v>様</v>
      </c>
      <c r="K12" s="47" t="str">
        <f>IF(_xlfn.XLOOKUP(ROW(K12)-ROW(K$8),報告用!$AK$4:$AK$39,報告用!$E$4:$E$39,"",FALSE)=H12,"",_xlfn.XLOOKUP(ROW(K12)-ROW(K$8),報告用!$AK$4:$AK$39,報告用!$E$4:$E$39,"",FALSE))</f>
        <v/>
      </c>
      <c r="L12" s="3"/>
      <c r="M12" s="213"/>
      <c r="N12" s="46">
        <f>_xlfn.XLOOKUP(ROW(N12)-ROW(N$8),報告用!$AL$4:$AL$39,報告用!$F$4:$F$39,"",FALSE)</f>
        <v>16</v>
      </c>
      <c r="O12" s="54" t="str">
        <f>_xlfn.XLOOKUP(ROW(O12)-ROW(O$8),報告用!$AL$4:$AL$39,報告用!$G$4:$G$39,"",FALSE)</f>
        <v>西山　望</v>
      </c>
      <c r="P12" s="10" t="str">
        <f t="shared" si="1"/>
        <v>様</v>
      </c>
      <c r="Q12" s="47" t="str">
        <f>IF(_xlfn.XLOOKUP(ROW(Q12)-ROW(Q$8),報告用!$AL$4:$AL$39,報告用!$E$4:$E$39,"",FALSE)=N12,"",_xlfn.XLOOKUP(ROW(Q12)-ROW(Q$8),報告用!$AL$4:$AL$39,報告用!$E$4:$E$39,"",FALSE))</f>
        <v/>
      </c>
    </row>
    <row r="13" spans="1:17" ht="27" customHeight="1" thickTop="1">
      <c r="A13" s="218" t="s">
        <v>37</v>
      </c>
      <c r="B13" s="170">
        <f>_xlfn.XLOOKUP(ROW(B13)-ROW(B$12),報告用!$AD$4:$AD$39,報告用!F$4:F$39,"",FALSE)</f>
        <v>16</v>
      </c>
      <c r="C13" s="140" t="str">
        <f>_xlfn.XLOOKUP(ROW(C13)-ROW(C$12),報告用!$AD$4:$AD$39,報告用!G$4:G$39,"",FALSE)</f>
        <v>牛山　はつ子</v>
      </c>
      <c r="D13" s="16" t="str">
        <f t="shared" si="2"/>
        <v>様</v>
      </c>
      <c r="E13" s="55" t="str">
        <f>IF(_xlfn.XLOOKUP(ROW(E13)-ROW(E$12),報告用!$AD$4:$AD$39,報告用!E$4:E$39,"",FALSE)=B13,"",_xlfn.XLOOKUP(ROW(E13)-ROW(E$12),報告用!$AD$4:$AD$39,報告用!E$4:E$39,"",FALSE))</f>
        <v/>
      </c>
      <c r="F13" s="2"/>
      <c r="G13" s="213"/>
      <c r="H13" s="46">
        <f>_xlfn.XLOOKUP(ROW(H13)-ROW(H$8),報告用!$AK$4:$AK$39,報告用!$F$4:$F$39,"",FALSE)</f>
        <v>16</v>
      </c>
      <c r="I13" s="54" t="str">
        <f>_xlfn.XLOOKUP(ROW(I13)-ROW(I$8),報告用!$AK$4:$AK$39,報告用!$G$4:$G$39,"",FALSE)</f>
        <v>西山　望</v>
      </c>
      <c r="J13" s="10" t="str">
        <f t="shared" si="0"/>
        <v>様</v>
      </c>
      <c r="K13" s="47" t="str">
        <f>IF(_xlfn.XLOOKUP(ROW(K13)-ROW(K$8),報告用!$AK$4:$AK$39,報告用!$E$4:$E$39,"",FALSE)=H13,"",_xlfn.XLOOKUP(ROW(K13)-ROW(K$8),報告用!$AK$4:$AK$39,報告用!$E$4:$E$39,"",FALSE))</f>
        <v/>
      </c>
      <c r="L13" s="3"/>
      <c r="M13" s="213"/>
      <c r="N13" s="46">
        <f>_xlfn.XLOOKUP(ROW(N13)-ROW(N$8),報告用!$AL$4:$AL$39,報告用!$F$4:$F$39,"",FALSE)</f>
        <v>17</v>
      </c>
      <c r="O13" s="54" t="str">
        <f>_xlfn.XLOOKUP(ROW(O13)-ROW(O$8),報告用!$AL$4:$AL$39,報告用!$G$4:$G$39,"",FALSE)</f>
        <v>斎藤　潤一</v>
      </c>
      <c r="P13" s="10" t="str">
        <f t="shared" si="1"/>
        <v>様</v>
      </c>
      <c r="Q13" s="47" t="str">
        <f>IF(_xlfn.XLOOKUP(ROW(Q13)-ROW(Q$8),報告用!$AL$4:$AL$39,報告用!$E$4:$E$39,"",FALSE)=N13,"",_xlfn.XLOOKUP(ROW(Q13)-ROW(Q$8),報告用!$AL$4:$AL$39,報告用!$E$4:$E$39,"",FALSE))</f>
        <v/>
      </c>
    </row>
    <row r="14" spans="1:17" ht="27" customHeight="1">
      <c r="A14" s="213"/>
      <c r="B14" s="46">
        <f>_xlfn.XLOOKUP(ROW(B14)-ROW(B$12),報告用!$AD$4:$AD$39,報告用!F$4:F$39,"",FALSE)</f>
        <v>16</v>
      </c>
      <c r="C14" s="54" t="str">
        <f>_xlfn.XLOOKUP(ROW(C14)-ROW(C$12),報告用!$AD$4:$AD$39,報告用!G$4:G$39,"",FALSE)</f>
        <v>森　たい子</v>
      </c>
      <c r="D14" s="10" t="str">
        <f t="shared" si="2"/>
        <v>様</v>
      </c>
      <c r="E14" s="47" t="str">
        <f>IF(_xlfn.XLOOKUP(ROW(E14)-ROW(E$12),報告用!$AD$4:$AD$39,報告用!E$4:E$39,"",FALSE)=B14,"",_xlfn.XLOOKUP(ROW(E14)-ROW(E$12),報告用!$AD$4:$AD$39,報告用!E$4:E$39,"",FALSE))</f>
        <v/>
      </c>
      <c r="F14" s="2"/>
      <c r="G14" s="213"/>
      <c r="H14" s="46">
        <f>_xlfn.XLOOKUP(ROW(H14)-ROW(H$8),報告用!$AK$4:$AK$39,報告用!$F$4:$F$39,"",FALSE)</f>
        <v>17</v>
      </c>
      <c r="I14" s="54" t="str">
        <f>_xlfn.XLOOKUP(ROW(I14)-ROW(I$8),報告用!$AK$4:$AK$39,報告用!$G$4:$G$39,"",FALSE)</f>
        <v>斎藤　潤一</v>
      </c>
      <c r="J14" s="10" t="str">
        <f t="shared" si="0"/>
        <v>様</v>
      </c>
      <c r="K14" s="47" t="str">
        <f>IF(_xlfn.XLOOKUP(ROW(K14)-ROW(K$8),報告用!$AK$4:$AK$39,報告用!$E$4:$E$39,"",FALSE)=H14,"",_xlfn.XLOOKUP(ROW(K14)-ROW(K$8),報告用!$AK$4:$AK$39,報告用!$E$4:$E$39,"",FALSE))</f>
        <v/>
      </c>
      <c r="L14" s="3"/>
      <c r="M14" s="213"/>
      <c r="N14" s="46">
        <f>_xlfn.XLOOKUP(ROW(N14)-ROW(N$8),報告用!$AL$4:$AL$39,報告用!$F$4:$F$39,"",FALSE)</f>
        <v>18</v>
      </c>
      <c r="O14" s="54" t="str">
        <f>_xlfn.XLOOKUP(ROW(O14)-ROW(O$8),報告用!$AL$4:$AL$39,報告用!$G$4:$G$39,"",FALSE)</f>
        <v>中澤　和江</v>
      </c>
      <c r="P14" s="10" t="str">
        <f t="shared" si="1"/>
        <v>様</v>
      </c>
      <c r="Q14" s="47">
        <f>IF(_xlfn.XLOOKUP(ROW(Q14)-ROW(Q$8),報告用!$AL$4:$AL$39,報告用!$E$4:$E$39,"",FALSE)=N14,"",_xlfn.XLOOKUP(ROW(Q14)-ROW(Q$8),報告用!$AL$4:$AL$39,報告用!$E$4:$E$39,"",FALSE))</f>
        <v>17</v>
      </c>
    </row>
    <row r="15" spans="1:17" ht="27" customHeight="1">
      <c r="A15" s="213"/>
      <c r="B15" s="46">
        <f>_xlfn.XLOOKUP(ROW(B15)-ROW(B$12),報告用!$AD$4:$AD$39,報告用!F$4:F$39,"",FALSE)</f>
        <v>17</v>
      </c>
      <c r="C15" s="54" t="str">
        <f>_xlfn.XLOOKUP(ROW(C15)-ROW(C$12),報告用!$AD$4:$AD$39,報告用!G$4:G$39,"",FALSE)</f>
        <v>小澤　俊治</v>
      </c>
      <c r="D15" s="10" t="str">
        <f t="shared" si="2"/>
        <v>様</v>
      </c>
      <c r="E15" s="47" t="str">
        <f>IF(_xlfn.XLOOKUP(ROW(E15)-ROW(E$12),報告用!$AD$4:$AD$39,報告用!E$4:E$39,"",FALSE)=B15,"",_xlfn.XLOOKUP(ROW(E15)-ROW(E$12),報告用!$AD$4:$AD$39,報告用!E$4:E$39,"",FALSE))</f>
        <v/>
      </c>
      <c r="F15" s="2"/>
      <c r="G15" s="213"/>
      <c r="H15" s="46">
        <f>_xlfn.XLOOKUP(ROW(H15)-ROW(H$8),報告用!$AK$4:$AK$39,報告用!$F$4:$F$39,"",FALSE)</f>
        <v>18</v>
      </c>
      <c r="I15" s="54" t="str">
        <f>_xlfn.XLOOKUP(ROW(I15)-ROW(I$8),報告用!$AK$4:$AK$39,報告用!$G$4:$G$39,"",FALSE)</f>
        <v>中澤　和江</v>
      </c>
      <c r="J15" s="10" t="str">
        <f t="shared" si="0"/>
        <v>様</v>
      </c>
      <c r="K15" s="47">
        <f>IF(_xlfn.XLOOKUP(ROW(K15)-ROW(K$8),報告用!$AK$4:$AK$39,報告用!$E$4:$E$39,"",FALSE)=H15,"",_xlfn.XLOOKUP(ROW(K15)-ROW(K$8),報告用!$AK$4:$AK$39,報告用!$E$4:$E$39,"",FALSE))</f>
        <v>17</v>
      </c>
      <c r="L15" s="3"/>
      <c r="M15" s="213"/>
      <c r="N15" s="46">
        <f>_xlfn.XLOOKUP(ROW(N15)-ROW(N$8),報告用!$AL$4:$AL$39,報告用!$F$4:$F$39,"",FALSE)</f>
        <v>18</v>
      </c>
      <c r="O15" s="54" t="str">
        <f>_xlfn.XLOOKUP(ROW(O15)-ROW(O$8),報告用!$AL$4:$AL$39,報告用!$G$4:$G$39,"",FALSE)</f>
        <v>山本　たみ子</v>
      </c>
      <c r="P15" s="10" t="str">
        <f t="shared" si="1"/>
        <v>様</v>
      </c>
      <c r="Q15" s="47" t="str">
        <f>IF(_xlfn.XLOOKUP(ROW(Q15)-ROW(Q$8),報告用!$AL$4:$AL$39,報告用!$E$4:$E$39,"",FALSE)=N15,"",_xlfn.XLOOKUP(ROW(Q15)-ROW(Q$8),報告用!$AL$4:$AL$39,報告用!$E$4:$E$39,"",FALSE))</f>
        <v/>
      </c>
    </row>
    <row r="16" spans="1:17" ht="27" customHeight="1">
      <c r="A16" s="213"/>
      <c r="B16" s="46">
        <f>_xlfn.XLOOKUP(ROW(B16)-ROW(B$12),報告用!$AD$4:$AD$39,報告用!F$4:F$39,"",FALSE)</f>
        <v>21</v>
      </c>
      <c r="C16" s="54" t="str">
        <f>_xlfn.XLOOKUP(ROW(C16)-ROW(C$12),報告用!$AD$4:$AD$39,報告用!G$4:G$39,"",FALSE)</f>
        <v>土田　茂</v>
      </c>
      <c r="D16" s="10" t="str">
        <f t="shared" si="2"/>
        <v>様</v>
      </c>
      <c r="E16" s="47" t="str">
        <f>IF(_xlfn.XLOOKUP(ROW(E16)-ROW(E$12),報告用!$AD$4:$AD$39,報告用!E$4:E$39,"",FALSE)=B16,"",_xlfn.XLOOKUP(ROW(E16)-ROW(E$12),報告用!$AD$4:$AD$39,報告用!E$4:E$39,"",FALSE))</f>
        <v/>
      </c>
      <c r="F16" s="2"/>
      <c r="G16" s="213"/>
      <c r="H16" s="46">
        <f>_xlfn.XLOOKUP(ROW(H16)-ROW(H$8),報告用!$AK$4:$AK$39,報告用!$F$4:$F$39,"",FALSE)</f>
        <v>18</v>
      </c>
      <c r="I16" s="54" t="str">
        <f>_xlfn.XLOOKUP(ROW(I16)-ROW(I$8),報告用!$AK$4:$AK$39,報告用!$G$4:$G$39,"",FALSE)</f>
        <v>深味　照子</v>
      </c>
      <c r="J16" s="10" t="str">
        <f t="shared" si="0"/>
        <v>様</v>
      </c>
      <c r="K16" s="47" t="str">
        <f>IF(_xlfn.XLOOKUP(ROW(K16)-ROW(K$8),報告用!$AK$4:$AK$39,報告用!$E$4:$E$39,"",FALSE)=H16,"",_xlfn.XLOOKUP(ROW(K16)-ROW(K$8),報告用!$AK$4:$AK$39,報告用!$E$4:$E$39,"",FALSE))</f>
        <v/>
      </c>
      <c r="L16" s="3"/>
      <c r="M16" s="213"/>
      <c r="N16" s="46">
        <f>_xlfn.XLOOKUP(ROW(N16)-ROW(N$8),報告用!$AL$4:$AL$39,報告用!$F$4:$F$39,"",FALSE)</f>
        <v>20</v>
      </c>
      <c r="O16" s="54" t="str">
        <f>_xlfn.XLOOKUP(ROW(O16)-ROW(O$8),報告用!$AL$4:$AL$39,報告用!$G$4:$G$39,"",FALSE)</f>
        <v>小口　千穂</v>
      </c>
      <c r="P16" s="10" t="str">
        <f t="shared" si="1"/>
        <v>様</v>
      </c>
      <c r="Q16" s="47" t="str">
        <f>IF(_xlfn.XLOOKUP(ROW(Q16)-ROW(Q$8),報告用!$AL$4:$AL$39,報告用!$E$4:$E$39,"",FALSE)=N16,"",_xlfn.XLOOKUP(ROW(Q16)-ROW(Q$8),報告用!$AL$4:$AL$39,報告用!$E$4:$E$39,"",FALSE))</f>
        <v/>
      </c>
    </row>
    <row r="17" spans="1:17" ht="27" customHeight="1">
      <c r="A17" s="213"/>
      <c r="B17" s="46" t="str">
        <f>_xlfn.XLOOKUP(ROW(B17)-ROW(B$12),報告用!$AD$4:$AD$39,報告用!F$4:F$39,"",FALSE)</f>
        <v/>
      </c>
      <c r="C17" s="54" t="str">
        <f>_xlfn.XLOOKUP(ROW(C17)-ROW(C$12),報告用!$AD$4:$AD$39,報告用!G$4:G$39,"",FALSE)</f>
        <v/>
      </c>
      <c r="D17" s="10" t="str">
        <f t="shared" si="2"/>
        <v/>
      </c>
      <c r="E17" s="47" t="str">
        <f>IF(_xlfn.XLOOKUP(ROW(E17)-ROW(E$12),報告用!$AD$4:$AD$39,報告用!E$4:E$39,"",FALSE)=B17,"",_xlfn.XLOOKUP(ROW(E17)-ROW(E$12),報告用!$AD$4:$AD$39,報告用!E$4:E$39,"",FALSE))</f>
        <v/>
      </c>
      <c r="F17" s="2"/>
      <c r="G17" s="213"/>
      <c r="H17" s="46">
        <f>_xlfn.XLOOKUP(ROW(H17)-ROW(H$8),報告用!$AK$4:$AK$39,報告用!$F$4:$F$39,"",FALSE)</f>
        <v>18</v>
      </c>
      <c r="I17" s="54" t="str">
        <f>_xlfn.XLOOKUP(ROW(I17)-ROW(I$8),報告用!$AK$4:$AK$39,報告用!$G$4:$G$39,"",FALSE)</f>
        <v>山本　たみ子</v>
      </c>
      <c r="J17" s="10" t="str">
        <f t="shared" si="0"/>
        <v>様</v>
      </c>
      <c r="K17" s="47" t="str">
        <f>IF(_xlfn.XLOOKUP(ROW(K17)-ROW(K$8),報告用!$AK$4:$AK$39,報告用!$E$4:$E$39,"",FALSE)=H17,"",_xlfn.XLOOKUP(ROW(K17)-ROW(K$8),報告用!$AK$4:$AK$39,報告用!$E$4:$E$39,"",FALSE))</f>
        <v/>
      </c>
      <c r="L17" s="3"/>
      <c r="M17" s="213"/>
      <c r="N17" s="46">
        <f>_xlfn.XLOOKUP(ROW(N17)-ROW(N$8),報告用!$AL$4:$AL$39,報告用!$F$4:$F$39,"",FALSE)</f>
        <v>20</v>
      </c>
      <c r="O17" s="54" t="str">
        <f>_xlfn.XLOOKUP(ROW(O17)-ROW(O$8),報告用!$AL$4:$AL$39,報告用!$G$4:$G$39,"",FALSE)</f>
        <v>堀内　竹子</v>
      </c>
      <c r="P17" s="10" t="str">
        <f t="shared" si="1"/>
        <v>様</v>
      </c>
      <c r="Q17" s="47" t="str">
        <f>IF(_xlfn.XLOOKUP(ROW(Q17)-ROW(Q$8),報告用!$AL$4:$AL$39,報告用!$E$4:$E$39,"",FALSE)=N17,"",_xlfn.XLOOKUP(ROW(Q17)-ROW(Q$8),報告用!$AL$4:$AL$39,報告用!$E$4:$E$39,"",FALSE))</f>
        <v/>
      </c>
    </row>
    <row r="18" spans="1:17" ht="27" customHeight="1">
      <c r="A18" s="213"/>
      <c r="B18" s="46" t="str">
        <f>_xlfn.XLOOKUP(ROW(B18)-ROW(B$12),報告用!$AD$4:$AD$39,報告用!F$4:F$39,"",FALSE)</f>
        <v/>
      </c>
      <c r="C18" s="54" t="str">
        <f>_xlfn.XLOOKUP(ROW(C18)-ROW(C$12),報告用!$AD$4:$AD$39,報告用!G$4:G$39,"",FALSE)</f>
        <v/>
      </c>
      <c r="D18" s="10" t="str">
        <f t="shared" si="2"/>
        <v/>
      </c>
      <c r="E18" s="47" t="str">
        <f>IF(_xlfn.XLOOKUP(ROW(E18)-ROW(E$12),報告用!$AD$4:$AD$39,報告用!E$4:E$39,"",FALSE)=B18,"",_xlfn.XLOOKUP(ROW(E18)-ROW(E$12),報告用!$AD$4:$AD$39,報告用!E$4:E$39,"",FALSE))</f>
        <v/>
      </c>
      <c r="F18" s="2"/>
      <c r="G18" s="213"/>
      <c r="H18" s="46">
        <f>_xlfn.XLOOKUP(ROW(H18)-ROW(H$8),報告用!$AK$4:$AK$39,報告用!$F$4:$F$39,"",FALSE)</f>
        <v>20</v>
      </c>
      <c r="I18" s="54" t="str">
        <f>_xlfn.XLOOKUP(ROW(I18)-ROW(I$8),報告用!$AK$4:$AK$39,報告用!$G$4:$G$39,"",FALSE)</f>
        <v>小口　千穂</v>
      </c>
      <c r="J18" s="10" t="str">
        <f t="shared" si="0"/>
        <v>様</v>
      </c>
      <c r="K18" s="47" t="str">
        <f>IF(_xlfn.XLOOKUP(ROW(K18)-ROW(K$8),報告用!$AK$4:$AK$39,報告用!$E$4:$E$39,"",FALSE)=H18,"",_xlfn.XLOOKUP(ROW(K18)-ROW(K$8),報告用!$AK$4:$AK$39,報告用!$E$4:$E$39,"",FALSE))</f>
        <v/>
      </c>
      <c r="L18" s="3"/>
      <c r="M18" s="213"/>
      <c r="N18" s="46">
        <f>_xlfn.XLOOKUP(ROW(N18)-ROW(N$8),報告用!$AL$4:$AL$39,報告用!$F$4:$F$39,"",FALSE)</f>
        <v>21</v>
      </c>
      <c r="O18" s="54" t="str">
        <f>_xlfn.XLOOKUP(ROW(O18)-ROW(O$8),報告用!$AL$4:$AL$39,報告用!$G$4:$G$39,"",FALSE)</f>
        <v>小林　國光</v>
      </c>
      <c r="P18" s="10" t="str">
        <f t="shared" si="1"/>
        <v>様</v>
      </c>
      <c r="Q18" s="47">
        <f>IF(_xlfn.XLOOKUP(ROW(Q18)-ROW(Q$8),報告用!$AL$4:$AL$39,報告用!$E$4:$E$39,"",FALSE)=N18,"",_xlfn.XLOOKUP(ROW(Q18)-ROW(Q$8),報告用!$AL$4:$AL$39,報告用!$E$4:$E$39,"",FALSE))</f>
        <v>17</v>
      </c>
    </row>
    <row r="19" spans="1:17" ht="27" customHeight="1">
      <c r="A19" s="213"/>
      <c r="B19" s="46" t="str">
        <f>_xlfn.XLOOKUP(ROW(B19)-ROW(B$12),報告用!$AD$4:$AD$39,報告用!F$4:F$39,"",FALSE)</f>
        <v/>
      </c>
      <c r="C19" s="54" t="str">
        <f>_xlfn.XLOOKUP(ROW(C19)-ROW(C$12),報告用!$AD$4:$AD$39,報告用!G$4:G$39,"",FALSE)</f>
        <v/>
      </c>
      <c r="D19" s="10" t="str">
        <f t="shared" si="2"/>
        <v/>
      </c>
      <c r="E19" s="47" t="str">
        <f>IF(_xlfn.XLOOKUP(ROW(E19)-ROW(E$12),報告用!$AD$4:$AD$39,報告用!E$4:E$39,"",FALSE)=B19,"",_xlfn.XLOOKUP(ROW(E19)-ROW(E$12),報告用!$AD$4:$AD$39,報告用!E$4:E$39,"",FALSE))</f>
        <v/>
      </c>
      <c r="F19" s="2"/>
      <c r="G19" s="213"/>
      <c r="H19" s="46">
        <f>_xlfn.XLOOKUP(ROW(H19)-ROW(H$8),報告用!$AK$4:$AK$39,報告用!$F$4:$F$39,"",FALSE)</f>
        <v>20</v>
      </c>
      <c r="I19" s="54" t="str">
        <f>_xlfn.XLOOKUP(ROW(I19)-ROW(I$8),報告用!$AK$4:$AK$39,報告用!$G$4:$G$39,"",FALSE)</f>
        <v>堀内　竹子</v>
      </c>
      <c r="J19" s="10" t="str">
        <f t="shared" si="0"/>
        <v>様</v>
      </c>
      <c r="K19" s="47" t="str">
        <f>IF(_xlfn.XLOOKUP(ROW(K19)-ROW(K$8),報告用!$AK$4:$AK$39,報告用!$E$4:$E$39,"",FALSE)=H19,"",_xlfn.XLOOKUP(ROW(K19)-ROW(K$8),報告用!$AK$4:$AK$39,報告用!$E$4:$E$39,"",FALSE))</f>
        <v/>
      </c>
      <c r="L19" s="3"/>
      <c r="M19" s="213"/>
      <c r="N19" s="46">
        <f>_xlfn.XLOOKUP(ROW(N19)-ROW(N$8),報告用!$AL$4:$AL$39,報告用!$F$4:$F$39,"",FALSE)</f>
        <v>21</v>
      </c>
      <c r="O19" s="54" t="str">
        <f>_xlfn.XLOOKUP(ROW(O19)-ROW(O$8),報告用!$AL$4:$AL$39,報告用!$G$4:$G$39,"",FALSE)</f>
        <v>土田　茂</v>
      </c>
      <c r="P19" s="10" t="str">
        <f t="shared" si="1"/>
        <v>様</v>
      </c>
      <c r="Q19" s="47" t="str">
        <f>IF(_xlfn.XLOOKUP(ROW(Q19)-ROW(Q$8),報告用!$AL$4:$AL$39,報告用!$E$4:$E$39,"",FALSE)=N19,"",_xlfn.XLOOKUP(ROW(Q19)-ROW(Q$8),報告用!$AL$4:$AL$39,報告用!$E$4:$E$39,"",FALSE))</f>
        <v/>
      </c>
    </row>
    <row r="20" spans="1:17" ht="27" customHeight="1" thickBot="1">
      <c r="A20" s="217"/>
      <c r="B20" s="56" t="str">
        <f>_xlfn.XLOOKUP(ROW(B20)-ROW(B$12),報告用!$AD$4:$AD$39,報告用!F$4:F$39,"",FALSE)</f>
        <v/>
      </c>
      <c r="C20" s="64" t="str">
        <f>_xlfn.XLOOKUP(ROW(C20)-ROW(C$12),報告用!$AD$4:$AD$39,報告用!G$4:G$39,"",FALSE)</f>
        <v/>
      </c>
      <c r="D20" s="19" t="str">
        <f t="shared" si="2"/>
        <v/>
      </c>
      <c r="E20" s="57" t="str">
        <f>IF(_xlfn.XLOOKUP(ROW(E20)-ROW(E$12),報告用!$AD$4:$AD$39,報告用!E$4:E$39,"",FALSE)=B20,"",_xlfn.XLOOKUP(ROW(E20)-ROW(E$12),報告用!$AD$4:$AD$39,報告用!E$4:E$39,"",FALSE))</f>
        <v/>
      </c>
      <c r="F20" s="2"/>
      <c r="G20" s="217"/>
      <c r="H20" s="56">
        <f>_xlfn.XLOOKUP(ROW(H20)-ROW(H$8),報告用!$AK$4:$AK$39,報告用!$F$4:$F$39,"",FALSE)</f>
        <v>21</v>
      </c>
      <c r="I20" s="64" t="str">
        <f>_xlfn.XLOOKUP(ROW(I20)-ROW(I$8),報告用!$AK$4:$AK$39,報告用!$G$4:$G$39,"",FALSE)</f>
        <v>小林　國光</v>
      </c>
      <c r="J20" s="19" t="str">
        <f t="shared" si="0"/>
        <v>様</v>
      </c>
      <c r="K20" s="57">
        <f>IF(_xlfn.XLOOKUP(ROW(K20)-ROW(K$8),報告用!$AK$4:$AK$39,報告用!$E$4:$E$39,"",FALSE)=H20,"",_xlfn.XLOOKUP(ROW(K20)-ROW(K$8),報告用!$AK$4:$AK$39,報告用!$E$4:$E$39,"",FALSE))</f>
        <v>17</v>
      </c>
      <c r="L20" s="3"/>
      <c r="M20" s="217"/>
      <c r="N20" s="56">
        <f>_xlfn.XLOOKUP(ROW(N20)-ROW(N$8),報告用!$AL$4:$AL$39,報告用!$F$4:$F$39,"",FALSE)</f>
        <v>21</v>
      </c>
      <c r="O20" s="64" t="str">
        <f>_xlfn.XLOOKUP(ROW(O20)-ROW(O$8),報告用!$AL$4:$AL$39,報告用!$G$4:$G$39,"",FALSE)</f>
        <v>加納　鉄也</v>
      </c>
      <c r="P20" s="19" t="str">
        <f t="shared" si="1"/>
        <v>様</v>
      </c>
      <c r="Q20" s="57">
        <f>IF(_xlfn.XLOOKUP(ROW(Q20)-ROW(Q$8),報告用!$AL$4:$AL$39,報告用!$E$4:$E$39,"",FALSE)=N20,"",_xlfn.XLOOKUP(ROW(Q20)-ROW(Q$8),報告用!$AL$4:$AL$39,報告用!$E$4:$E$39,"",FALSE))</f>
        <v>16</v>
      </c>
    </row>
    <row r="21" spans="1:17" ht="27" customHeight="1">
      <c r="A21" s="23"/>
      <c r="B21" s="23"/>
      <c r="C21" s="23"/>
      <c r="D21" s="23"/>
      <c r="E21" s="23"/>
      <c r="F21" s="23"/>
      <c r="G21" s="202" t="s">
        <v>40</v>
      </c>
      <c r="H21" s="202"/>
      <c r="I21" s="202"/>
      <c r="J21" s="202"/>
      <c r="K21" s="202"/>
      <c r="L21" s="23"/>
      <c r="M21" s="23"/>
      <c r="N21" s="23"/>
      <c r="O21" s="23"/>
      <c r="P21" s="23"/>
      <c r="Q21" s="23"/>
    </row>
    <row r="22" spans="1:17" ht="27" customHeight="1" thickBot="1">
      <c r="A22" s="204"/>
      <c r="B22" s="204"/>
      <c r="C22" s="204"/>
      <c r="D22" s="204"/>
      <c r="E22" s="204"/>
      <c r="F22" s="23"/>
      <c r="G22" s="203"/>
      <c r="H22" s="203"/>
      <c r="I22" s="203"/>
      <c r="J22" s="203"/>
      <c r="K22" s="203"/>
      <c r="L22" s="23"/>
      <c r="M22" s="205">
        <f>報告用!$O$2</f>
        <v>46106</v>
      </c>
      <c r="N22" s="205"/>
      <c r="O22" s="205"/>
      <c r="P22" s="205"/>
      <c r="Q22" s="205"/>
    </row>
    <row r="23" spans="1:17" ht="27" customHeight="1">
      <c r="A23" s="206" t="s">
        <v>31</v>
      </c>
      <c r="B23" s="208" t="s">
        <v>38</v>
      </c>
      <c r="C23" s="208"/>
      <c r="D23" s="208"/>
      <c r="E23" s="209"/>
      <c r="F23" s="2"/>
      <c r="G23" s="206" t="s">
        <v>31</v>
      </c>
      <c r="H23" s="208" t="s">
        <v>39</v>
      </c>
      <c r="I23" s="208"/>
      <c r="J23" s="208"/>
      <c r="K23" s="209"/>
      <c r="L23" s="3"/>
      <c r="M23" s="206" t="s">
        <v>31</v>
      </c>
      <c r="N23" s="208" t="s">
        <v>22</v>
      </c>
      <c r="O23" s="208"/>
      <c r="P23" s="208"/>
      <c r="Q23" s="209"/>
    </row>
    <row r="24" spans="1:17" ht="27" customHeight="1" thickBot="1">
      <c r="A24" s="207"/>
      <c r="B24" s="4" t="s">
        <v>18</v>
      </c>
      <c r="C24" s="210" t="s">
        <v>17</v>
      </c>
      <c r="D24" s="211"/>
      <c r="E24" s="5" t="s">
        <v>30</v>
      </c>
      <c r="F24" s="2"/>
      <c r="G24" s="207"/>
      <c r="H24" s="4" t="s">
        <v>18</v>
      </c>
      <c r="I24" s="210" t="s">
        <v>17</v>
      </c>
      <c r="J24" s="211"/>
      <c r="K24" s="5" t="s">
        <v>30</v>
      </c>
      <c r="L24" s="3"/>
      <c r="M24" s="207"/>
      <c r="N24" s="4" t="s">
        <v>18</v>
      </c>
      <c r="O24" s="210" t="s">
        <v>17</v>
      </c>
      <c r="P24" s="211"/>
      <c r="Q24" s="5" t="s">
        <v>30</v>
      </c>
    </row>
    <row r="25" spans="1:17" ht="27" customHeight="1" thickTop="1">
      <c r="A25" s="215" t="s">
        <v>35</v>
      </c>
      <c r="B25" s="49">
        <f>_xlfn.XLOOKUP(ROW(B25)-ROW(B$24),報告用!$AH$4:$AH$39,報告用!$F$4:$F$39,"",FALSE)</f>
        <v>15</v>
      </c>
      <c r="C25" s="48" t="str">
        <f>_xlfn.XLOOKUP(ROW(C25)-ROW(C$24),報告用!$AH$4:$AH$39,報告用!$G$4:$G$39,"",FALSE)</f>
        <v>志村とも子</v>
      </c>
      <c r="D25" s="7" t="str">
        <f t="shared" ref="D25:D40" si="3">IF(C25="","","様")</f>
        <v>様</v>
      </c>
      <c r="E25" s="50" t="str">
        <f>IF(_xlfn.XLOOKUP(ROW(E25)-ROW(E$24),報告用!$AH$4:$AH$39,報告用!$E$4:$E$39,"",FALSE)=B25,"",_xlfn.XLOOKUP(ROW(E25)-ROW(E$24),報告用!$AH$4:$AH$39,報告用!$E$4:$E$39,"",FALSE))</f>
        <v/>
      </c>
      <c r="F25" s="2"/>
      <c r="G25" s="215" t="s">
        <v>35</v>
      </c>
      <c r="H25" s="49">
        <f>_xlfn.XLOOKUP(ROW(H25)-ROW(H$24),報告用!$AI$4:$AI$39,報告用!$F$4:$F$39,"",FALSE)</f>
        <v>15</v>
      </c>
      <c r="I25" s="48" t="str">
        <f>_xlfn.XLOOKUP(ROW(I25)-ROW(I$24),報告用!$AI$4:$AI$39,報告用!$G$4:$G$39,"",FALSE)</f>
        <v>志村とも子</v>
      </c>
      <c r="J25" s="7" t="str">
        <f t="shared" ref="J25:J40" si="4">IF(I25="","","様")</f>
        <v>様</v>
      </c>
      <c r="K25" s="50" t="str">
        <f>IF(_xlfn.XLOOKUP(ROW(K25)-ROW(K$24),報告用!$AI$4:$AI$39,報告用!$E$4:$E$39,"",FALSE)=H25,"",_xlfn.XLOOKUP(ROW(K25)-ROW(K$24),報告用!$AI$4:$AI$39,報告用!$E$4:$E$39,"",FALSE))</f>
        <v/>
      </c>
      <c r="L25" s="3"/>
      <c r="M25" s="215" t="s">
        <v>35</v>
      </c>
      <c r="N25" s="49">
        <f>_xlfn.XLOOKUP(ROW(N25)-ROW(N$24),報告用!$AJ$4:$AJ$39,報告用!$F$4:$F$39,"",FALSE)</f>
        <v>15</v>
      </c>
      <c r="O25" s="48" t="str">
        <f>_xlfn.XLOOKUP(ROW(O25)-ROW(O$24),報告用!$AJ$4:$AJ$39,報告用!$G$4:$G$39,"",FALSE)</f>
        <v>志村とも子</v>
      </c>
      <c r="P25" s="7" t="str">
        <f t="shared" ref="P25:P40" si="5">IF(O25="","","様")</f>
        <v>様</v>
      </c>
      <c r="Q25" s="50" t="str">
        <f>IF(_xlfn.XLOOKUP(ROW(Q25)-ROW(Q$24),報告用!$AJ$4:$AJ$39,報告用!$E$4:$E$39,"",FALSE)=N25,"",_xlfn.XLOOKUP(ROW(Q25)-ROW(Q$24),報告用!$AJ$4:$AJ$39,報告用!$E$4:$E$39,"",FALSE))</f>
        <v/>
      </c>
    </row>
    <row r="26" spans="1:17" ht="27" customHeight="1">
      <c r="A26" s="216"/>
      <c r="B26" s="46">
        <f>_xlfn.XLOOKUP(ROW(B26)-ROW(B$24),報告用!$AH$4:$AH$39,報告用!$F$4:$F$39,"",FALSE)</f>
        <v>15</v>
      </c>
      <c r="C26" s="54" t="str">
        <f>_xlfn.XLOOKUP(ROW(C26)-ROW(C$24),報告用!$AH$4:$AH$39,報告用!$G$4:$G$39,"",FALSE)</f>
        <v>飯室　純江</v>
      </c>
      <c r="D26" s="10" t="str">
        <f t="shared" si="3"/>
        <v>様</v>
      </c>
      <c r="E26" s="47" t="str">
        <f>IF(_xlfn.XLOOKUP(ROW(E26)-ROW(E$24),報告用!$AH$4:$AH$39,報告用!$E$4:$E$39,"",FALSE)=B26,"",_xlfn.XLOOKUP(ROW(E26)-ROW(E$24),報告用!$AH$4:$AH$39,報告用!$E$4:$E$39,"",FALSE))</f>
        <v/>
      </c>
      <c r="F26" s="2"/>
      <c r="G26" s="216"/>
      <c r="H26" s="46">
        <f>_xlfn.XLOOKUP(ROW(H26)-ROW(H$24),報告用!$AI$4:$AI$39,報告用!$F$4:$F$39,"",FALSE)</f>
        <v>15</v>
      </c>
      <c r="I26" s="54" t="str">
        <f>_xlfn.XLOOKUP(ROW(I26)-ROW(I$24),報告用!$AI$4:$AI$39,報告用!$G$4:$G$39,"",FALSE)</f>
        <v>望月　美希</v>
      </c>
      <c r="J26" s="10" t="str">
        <f t="shared" si="4"/>
        <v>様</v>
      </c>
      <c r="K26" s="47" t="str">
        <f>IF(_xlfn.XLOOKUP(ROW(K26)-ROW(K$24),報告用!$AI$4:$AI$39,報告用!$E$4:$E$39,"",FALSE)=H26,"",_xlfn.XLOOKUP(ROW(K26)-ROW(K$24),報告用!$AI$4:$AI$39,報告用!$E$4:$E$39,"",FALSE))</f>
        <v/>
      </c>
      <c r="L26" s="3"/>
      <c r="M26" s="216"/>
      <c r="N26" s="46">
        <f>_xlfn.XLOOKUP(ROW(N26)-ROW(N$24),報告用!$AJ$4:$AJ$39,報告用!$F$4:$F$39,"",FALSE)</f>
        <v>16</v>
      </c>
      <c r="O26" s="54" t="str">
        <f>_xlfn.XLOOKUP(ROW(O26)-ROW(O$24),報告用!$AJ$4:$AJ$39,報告用!$G$4:$G$39,"",FALSE)</f>
        <v>里吉　松子</v>
      </c>
      <c r="P26" s="10" t="str">
        <f t="shared" si="5"/>
        <v>様</v>
      </c>
      <c r="Q26" s="47" t="str">
        <f>IF(_xlfn.XLOOKUP(ROW(Q26)-ROW(Q$24),報告用!$AJ$4:$AJ$39,報告用!$E$4:$E$39,"",FALSE)=N26,"",_xlfn.XLOOKUP(ROW(Q26)-ROW(Q$24),報告用!$AJ$4:$AJ$39,報告用!$E$4:$E$39,"",FALSE))</f>
        <v/>
      </c>
    </row>
    <row r="27" spans="1:17" ht="27" customHeight="1">
      <c r="A27" s="216"/>
      <c r="B27" s="46">
        <f>_xlfn.XLOOKUP(ROW(B27)-ROW(B$24),報告用!$AH$4:$AH$39,報告用!$F$4:$F$39,"",FALSE)</f>
        <v>16</v>
      </c>
      <c r="C27" s="54" t="str">
        <f>_xlfn.XLOOKUP(ROW(C27)-ROW(C$24),報告用!$AH$4:$AH$39,報告用!$G$4:$G$39,"",FALSE)</f>
        <v>里吉　松子</v>
      </c>
      <c r="D27" s="10" t="str">
        <f t="shared" si="3"/>
        <v>様</v>
      </c>
      <c r="E27" s="47" t="str">
        <f>IF(_xlfn.XLOOKUP(ROW(E27)-ROW(E$24),報告用!$AH$4:$AH$39,報告用!$E$4:$E$39,"",FALSE)=B27,"",_xlfn.XLOOKUP(ROW(E27)-ROW(E$24),報告用!$AH$4:$AH$39,報告用!$E$4:$E$39,"",FALSE))</f>
        <v/>
      </c>
      <c r="F27" s="2"/>
      <c r="G27" s="216"/>
      <c r="H27" s="46">
        <f>_xlfn.XLOOKUP(ROW(H27)-ROW(H$24),報告用!$AI$4:$AI$39,報告用!$F$4:$F$39,"",FALSE)</f>
        <v>16</v>
      </c>
      <c r="I27" s="54" t="str">
        <f>_xlfn.XLOOKUP(ROW(I27)-ROW(I$24),報告用!$AI$4:$AI$39,報告用!$G$4:$G$39,"",FALSE)</f>
        <v>里吉　松子</v>
      </c>
      <c r="J27" s="10" t="str">
        <f t="shared" si="4"/>
        <v>様</v>
      </c>
      <c r="K27" s="47" t="str">
        <f>IF(_xlfn.XLOOKUP(ROW(K27)-ROW(K$24),報告用!$AI$4:$AI$39,報告用!$E$4:$E$39,"",FALSE)=H27,"",_xlfn.XLOOKUP(ROW(K27)-ROW(K$24),報告用!$AI$4:$AI$39,報告用!$E$4:$E$39,"",FALSE))</f>
        <v/>
      </c>
      <c r="L27" s="3"/>
      <c r="M27" s="216"/>
      <c r="N27" s="46">
        <f>_xlfn.XLOOKUP(ROW(N27)-ROW(N$24),報告用!$AJ$4:$AJ$39,報告用!$F$4:$F$39,"",FALSE)</f>
        <v>16</v>
      </c>
      <c r="O27" s="54" t="str">
        <f>_xlfn.XLOOKUP(ROW(O27)-ROW(O$24),報告用!$AJ$4:$AJ$39,報告用!$G$4:$G$39,"",FALSE)</f>
        <v>森　たい子</v>
      </c>
      <c r="P27" s="10" t="str">
        <f t="shared" si="5"/>
        <v>様</v>
      </c>
      <c r="Q27" s="47" t="str">
        <f>IF(_xlfn.XLOOKUP(ROW(Q27)-ROW(Q$24),報告用!$AJ$4:$AJ$39,報告用!$E$4:$E$39,"",FALSE)=N27,"",_xlfn.XLOOKUP(ROW(Q27)-ROW(Q$24),報告用!$AJ$4:$AJ$39,報告用!$E$4:$E$39,"",FALSE))</f>
        <v/>
      </c>
    </row>
    <row r="28" spans="1:17" ht="27" customHeight="1" thickBot="1">
      <c r="A28" s="207"/>
      <c r="B28" s="52">
        <f>_xlfn.XLOOKUP(ROW(B28)-ROW(B$24),報告用!$AH$4:$AH$39,報告用!$F$4:$F$39,"",FALSE)</f>
        <v>16</v>
      </c>
      <c r="C28" s="51" t="str">
        <f>_xlfn.XLOOKUP(ROW(C28)-ROW(C$24),報告用!$AH$4:$AH$39,報告用!$G$4:$G$39,"",FALSE)</f>
        <v>森　たい子</v>
      </c>
      <c r="D28" s="13" t="str">
        <f t="shared" si="3"/>
        <v>様</v>
      </c>
      <c r="E28" s="53" t="str">
        <f>IF(_xlfn.XLOOKUP(ROW(E28)-ROW(E$24),報告用!$AH$4:$AH$39,報告用!$E$4:$E$39,"",FALSE)=B28,"",_xlfn.XLOOKUP(ROW(E28)-ROW(E$24),報告用!$AH$4:$AH$39,報告用!$E$4:$E$39,"",FALSE))</f>
        <v/>
      </c>
      <c r="F28" s="2"/>
      <c r="G28" s="207"/>
      <c r="H28" s="52">
        <f>_xlfn.XLOOKUP(ROW(H28)-ROW(H$24),報告用!$AI$4:$AI$39,報告用!$F$4:$F$39,"",FALSE)</f>
        <v>16</v>
      </c>
      <c r="I28" s="51" t="str">
        <f>_xlfn.XLOOKUP(ROW(I28)-ROW(I$24),報告用!$AI$4:$AI$39,報告用!$G$4:$G$39,"",FALSE)</f>
        <v>森　たい子</v>
      </c>
      <c r="J28" s="13" t="str">
        <f t="shared" si="4"/>
        <v>様</v>
      </c>
      <c r="K28" s="53" t="str">
        <f>IF(_xlfn.XLOOKUP(ROW(K28)-ROW(K$24),報告用!$AI$4:$AI$39,報告用!$E$4:$E$39,"",FALSE)=H28,"",_xlfn.XLOOKUP(ROW(K28)-ROW(K$24),報告用!$AI$4:$AI$39,報告用!$E$4:$E$39,"",FALSE))</f>
        <v/>
      </c>
      <c r="L28" s="3"/>
      <c r="M28" s="207"/>
      <c r="N28" s="52">
        <f>_xlfn.XLOOKUP(ROW(N28)-ROW(N$24),報告用!$AJ$4:$AJ$39,報告用!$F$4:$F$39,"",FALSE)</f>
        <v>17</v>
      </c>
      <c r="O28" s="51" t="str">
        <f>_xlfn.XLOOKUP(ROW(O28)-ROW(O$24),報告用!$AJ$4:$AJ$39,報告用!$G$4:$G$39,"",FALSE)</f>
        <v>河野　秀夫</v>
      </c>
      <c r="P28" s="13" t="str">
        <f t="shared" si="5"/>
        <v>様</v>
      </c>
      <c r="Q28" s="53" t="str">
        <f>IF(_xlfn.XLOOKUP(ROW(Q28)-ROW(Q$24),報告用!$AJ$4:$AJ$39,報告用!$E$4:$E$39,"",FALSE)=N28,"",_xlfn.XLOOKUP(ROW(Q28)-ROW(Q$24),報告用!$AJ$4:$AJ$39,報告用!$E$4:$E$39,"",FALSE))</f>
        <v/>
      </c>
    </row>
    <row r="29" spans="1:17" ht="27" customHeight="1" thickTop="1">
      <c r="A29" s="212" t="s">
        <v>25</v>
      </c>
      <c r="B29" s="170">
        <f>_xlfn.XLOOKUP(ROW(B29)-ROW(B$28),報告用!$AM$4:$AM$39,報告用!$F$4:$F$39,"",FALSE)</f>
        <v>15</v>
      </c>
      <c r="C29" s="140" t="str">
        <f>_xlfn.XLOOKUP(ROW(C29)-ROW(C$28),報告用!$AM$4:$AM$39,報告用!$G$4:$G$39,"",FALSE)</f>
        <v>志村とも子</v>
      </c>
      <c r="D29" s="16" t="str">
        <f t="shared" si="3"/>
        <v>様</v>
      </c>
      <c r="E29" s="55" t="str">
        <f>IF(_xlfn.XLOOKUP(ROW(E29)-ROW(E$28),報告用!$AM$4:$AM$39,報告用!$E$4:$E$39,"",FALSE)=B29,"",_xlfn.XLOOKUP(ROW(E29)-ROW(E$28),報告用!$AM$4:$AM$39,報告用!$E$4:$E$39,"",FALSE))</f>
        <v/>
      </c>
      <c r="F29" s="2"/>
      <c r="G29" s="213" t="s">
        <v>25</v>
      </c>
      <c r="H29" s="170">
        <f>_xlfn.XLOOKUP(ROW(H29)-ROW(H$28),報告用!$AN$4:$AN$39,報告用!$F$4:$F$39,"",FALSE)</f>
        <v>15</v>
      </c>
      <c r="I29" s="140" t="str">
        <f>_xlfn.XLOOKUP(ROW(I29)-ROW(I$28),報告用!$AN$4:$AN$39,報告用!$G$4:$G$39,"",FALSE)</f>
        <v>志村とも子</v>
      </c>
      <c r="J29" s="16" t="str">
        <f t="shared" si="4"/>
        <v>様</v>
      </c>
      <c r="K29" s="55" t="str">
        <f>IF(_xlfn.XLOOKUP(ROW(K29)-ROW(K$28),報告用!$AN$4:$AN$39,報告用!$E$4:$E$39,"",FALSE)=H29,"",_xlfn.XLOOKUP(ROW(K29)-ROW(K$28),報告用!$AN$4:$AN$39,報告用!$E$4:$E$39,"",FALSE))</f>
        <v/>
      </c>
      <c r="L29" s="3"/>
      <c r="M29" s="213" t="s">
        <v>25</v>
      </c>
      <c r="N29" s="170">
        <f>_xlfn.XLOOKUP(ROW(N29)-ROW(N$28),報告用!$AO$4:$AO$39,報告用!$F$4:$F$39,"",FALSE)</f>
        <v>15</v>
      </c>
      <c r="O29" s="140" t="str">
        <f>_xlfn.XLOOKUP(ROW(O29)-ROW(O$28),報告用!$AO$4:$AO$39,報告用!$G$4:$G$39,"",FALSE)</f>
        <v>志村とも子</v>
      </c>
      <c r="P29" s="16" t="str">
        <f t="shared" si="5"/>
        <v>様</v>
      </c>
      <c r="Q29" s="55" t="str">
        <f>IF(_xlfn.XLOOKUP(ROW(Q29)-ROW(Q$28),報告用!$AO$4:$AO$39,報告用!$E$4:$E$39,"",FALSE)=N29,"",_xlfn.XLOOKUP(ROW(Q29)-ROW(Q$28),報告用!$AO$4:$AO$39,報告用!$E$4:$E$39,"",FALSE))</f>
        <v/>
      </c>
    </row>
    <row r="30" spans="1:17" ht="27" customHeight="1">
      <c r="A30" s="213"/>
      <c r="B30" s="46">
        <f>_xlfn.XLOOKUP(ROW(B30)-ROW(B$28),報告用!$AM$4:$AM$39,報告用!$F$4:$F$39,"",FALSE)</f>
        <v>15</v>
      </c>
      <c r="C30" s="54" t="str">
        <f>_xlfn.XLOOKUP(ROW(C30)-ROW(C$28),報告用!$AM$4:$AM$39,報告用!$G$4:$G$39,"",FALSE)</f>
        <v>佐藤　亜美</v>
      </c>
      <c r="D30" s="10" t="str">
        <f t="shared" si="3"/>
        <v>様</v>
      </c>
      <c r="E30" s="47" t="str">
        <f>IF(_xlfn.XLOOKUP(ROW(E30)-ROW(E$28),報告用!$AM$4:$AM$39,報告用!$E$4:$E$39,"",FALSE)=B30,"",_xlfn.XLOOKUP(ROW(E30)-ROW(E$28),報告用!$AM$4:$AM$39,報告用!$E$4:$E$39,"",FALSE))</f>
        <v/>
      </c>
      <c r="F30" s="2"/>
      <c r="G30" s="213"/>
      <c r="H30" s="46">
        <f>_xlfn.XLOOKUP(ROW(H30)-ROW(H$28),報告用!$AN$4:$AN$39,報告用!$F$4:$F$39,"",FALSE)</f>
        <v>15</v>
      </c>
      <c r="I30" s="54" t="str">
        <f>_xlfn.XLOOKUP(ROW(I30)-ROW(I$28),報告用!$AN$4:$AN$39,報告用!$G$4:$G$39,"",FALSE)</f>
        <v>佐藤　亜美</v>
      </c>
      <c r="J30" s="10" t="str">
        <f t="shared" si="4"/>
        <v>様</v>
      </c>
      <c r="K30" s="47" t="str">
        <f>IF(_xlfn.XLOOKUP(ROW(K30)-ROW(K$28),報告用!$AN$4:$AN$39,報告用!$E$4:$E$39,"",FALSE)=H30,"",_xlfn.XLOOKUP(ROW(K30)-ROW(K$28),報告用!$AN$4:$AN$39,報告用!$E$4:$E$39,"",FALSE))</f>
        <v/>
      </c>
      <c r="L30" s="3"/>
      <c r="M30" s="213"/>
      <c r="N30" s="46">
        <f>_xlfn.XLOOKUP(ROW(N30)-ROW(N$28),報告用!$AO$4:$AO$39,報告用!$F$4:$F$39,"",FALSE)</f>
        <v>15</v>
      </c>
      <c r="O30" s="54" t="str">
        <f>_xlfn.XLOOKUP(ROW(O30)-ROW(O$28),報告用!$AO$4:$AO$39,報告用!$G$4:$G$39,"",FALSE)</f>
        <v>佐藤　亜美</v>
      </c>
      <c r="P30" s="10" t="str">
        <f t="shared" si="5"/>
        <v>様</v>
      </c>
      <c r="Q30" s="47" t="str">
        <f>IF(_xlfn.XLOOKUP(ROW(Q30)-ROW(Q$28),報告用!$AO$4:$AO$39,報告用!$E$4:$E$39,"",FALSE)=N30,"",_xlfn.XLOOKUP(ROW(Q30)-ROW(Q$28),報告用!$AO$4:$AO$39,報告用!$E$4:$E$39,"",FALSE))</f>
        <v/>
      </c>
    </row>
    <row r="31" spans="1:17" ht="27" customHeight="1">
      <c r="A31" s="213"/>
      <c r="B31" s="46">
        <f>_xlfn.XLOOKUP(ROW(B31)-ROW(B$28),報告用!$AM$4:$AM$39,報告用!$F$4:$F$39,"",FALSE)</f>
        <v>16</v>
      </c>
      <c r="C31" s="54" t="str">
        <f>_xlfn.XLOOKUP(ROW(C31)-ROW(C$28),報告用!$AM$4:$AM$39,報告用!$G$4:$G$39,"",FALSE)</f>
        <v>笠井　京子</v>
      </c>
      <c r="D31" s="10" t="str">
        <f t="shared" si="3"/>
        <v>様</v>
      </c>
      <c r="E31" s="47" t="str">
        <f>IF(_xlfn.XLOOKUP(ROW(E31)-ROW(E$28),報告用!$AM$4:$AM$39,報告用!$E$4:$E$39,"",FALSE)=B31,"",_xlfn.XLOOKUP(ROW(E31)-ROW(E$28),報告用!$AM$4:$AM$39,報告用!$E$4:$E$39,"",FALSE))</f>
        <v/>
      </c>
      <c r="F31" s="2"/>
      <c r="G31" s="213"/>
      <c r="H31" s="46">
        <f>_xlfn.XLOOKUP(ROW(H31)-ROW(H$28),報告用!$AN$4:$AN$39,報告用!$F$4:$F$39,"",FALSE)</f>
        <v>16</v>
      </c>
      <c r="I31" s="54" t="str">
        <f>_xlfn.XLOOKUP(ROW(I31)-ROW(I$28),報告用!$AN$4:$AN$39,報告用!$G$4:$G$39,"",FALSE)</f>
        <v>牛山　はつ子</v>
      </c>
      <c r="J31" s="10" t="str">
        <f t="shared" si="4"/>
        <v>様</v>
      </c>
      <c r="K31" s="47" t="str">
        <f>IF(_xlfn.XLOOKUP(ROW(K31)-ROW(K$28),報告用!$AN$4:$AN$39,報告用!$E$4:$E$39,"",FALSE)=H31,"",_xlfn.XLOOKUP(ROW(K31)-ROW(K$28),報告用!$AN$4:$AN$39,報告用!$E$4:$E$39,"",FALSE))</f>
        <v/>
      </c>
      <c r="L31" s="3"/>
      <c r="M31" s="213"/>
      <c r="N31" s="46">
        <f>_xlfn.XLOOKUP(ROW(N31)-ROW(N$28),報告用!$AO$4:$AO$39,報告用!$F$4:$F$39,"",FALSE)</f>
        <v>16</v>
      </c>
      <c r="O31" s="54" t="str">
        <f>_xlfn.XLOOKUP(ROW(O31)-ROW(O$28),報告用!$AO$4:$AO$39,報告用!$G$4:$G$39,"",FALSE)</f>
        <v>笠井　京子</v>
      </c>
      <c r="P31" s="10" t="str">
        <f t="shared" si="5"/>
        <v>様</v>
      </c>
      <c r="Q31" s="47" t="str">
        <f>IF(_xlfn.XLOOKUP(ROW(Q31)-ROW(Q$28),報告用!$AO$4:$AO$39,報告用!$E$4:$E$39,"",FALSE)=N31,"",_xlfn.XLOOKUP(ROW(Q31)-ROW(Q$28),報告用!$AO$4:$AO$39,報告用!$E$4:$E$39,"",FALSE))</f>
        <v/>
      </c>
    </row>
    <row r="32" spans="1:17" ht="27" customHeight="1">
      <c r="A32" s="213"/>
      <c r="B32" s="46">
        <f>_xlfn.XLOOKUP(ROW(B32)-ROW(B$28),報告用!$AM$4:$AM$39,報告用!$F$4:$F$39,"",FALSE)</f>
        <v>16</v>
      </c>
      <c r="C32" s="54" t="str">
        <f>_xlfn.XLOOKUP(ROW(C32)-ROW(C$28),報告用!$AM$4:$AM$39,報告用!$G$4:$G$39,"",FALSE)</f>
        <v>牛山　はつ子</v>
      </c>
      <c r="D32" s="10" t="str">
        <f t="shared" si="3"/>
        <v>様</v>
      </c>
      <c r="E32" s="47" t="str">
        <f>IF(_xlfn.XLOOKUP(ROW(E32)-ROW(E$28),報告用!$AM$4:$AM$39,報告用!$E$4:$E$39,"",FALSE)=B32,"",_xlfn.XLOOKUP(ROW(E32)-ROW(E$28),報告用!$AM$4:$AM$39,報告用!$E$4:$E$39,"",FALSE))</f>
        <v/>
      </c>
      <c r="F32" s="2"/>
      <c r="G32" s="213"/>
      <c r="H32" s="46">
        <f>_xlfn.XLOOKUP(ROW(H32)-ROW(H$28),報告用!$AN$4:$AN$39,報告用!$F$4:$F$39,"",FALSE)</f>
        <v>16</v>
      </c>
      <c r="I32" s="54" t="str">
        <f>_xlfn.XLOOKUP(ROW(I32)-ROW(I$28),報告用!$AN$4:$AN$39,報告用!$G$4:$G$39,"",FALSE)</f>
        <v>西山　望</v>
      </c>
      <c r="J32" s="10" t="str">
        <f t="shared" si="4"/>
        <v>様</v>
      </c>
      <c r="K32" s="47" t="str">
        <f>IF(_xlfn.XLOOKUP(ROW(K32)-ROW(K$28),報告用!$AN$4:$AN$39,報告用!$E$4:$E$39,"",FALSE)=H32,"",_xlfn.XLOOKUP(ROW(K32)-ROW(K$28),報告用!$AN$4:$AN$39,報告用!$E$4:$E$39,"",FALSE))</f>
        <v/>
      </c>
      <c r="L32" s="3"/>
      <c r="M32" s="213"/>
      <c r="N32" s="46">
        <f>_xlfn.XLOOKUP(ROW(N32)-ROW(N$28),報告用!$AO$4:$AO$39,報告用!$F$4:$F$39,"",FALSE)</f>
        <v>16</v>
      </c>
      <c r="O32" s="54" t="str">
        <f>_xlfn.XLOOKUP(ROW(O32)-ROW(O$28),報告用!$AO$4:$AO$39,報告用!$G$4:$G$39,"",FALSE)</f>
        <v>牛山　はつ子</v>
      </c>
      <c r="P32" s="10" t="str">
        <f t="shared" si="5"/>
        <v>様</v>
      </c>
      <c r="Q32" s="47" t="str">
        <f>IF(_xlfn.XLOOKUP(ROW(Q32)-ROW(Q$28),報告用!$AO$4:$AO$39,報告用!$E$4:$E$39,"",FALSE)=N32,"",_xlfn.XLOOKUP(ROW(Q32)-ROW(Q$28),報告用!$AO$4:$AO$39,報告用!$E$4:$E$39,"",FALSE))</f>
        <v/>
      </c>
    </row>
    <row r="33" spans="1:17" ht="27" customHeight="1">
      <c r="A33" s="213"/>
      <c r="B33" s="170">
        <f>_xlfn.XLOOKUP(ROW(B33)-ROW(B$28),報告用!$AM$4:$AM$39,報告用!$F$4:$F$39,"",FALSE)</f>
        <v>16</v>
      </c>
      <c r="C33" s="140" t="str">
        <f>_xlfn.XLOOKUP(ROW(C33)-ROW(C$28),報告用!$AM$4:$AM$39,報告用!$G$4:$G$39,"",FALSE)</f>
        <v>西山　望</v>
      </c>
      <c r="D33" s="16" t="str">
        <f t="shared" si="3"/>
        <v>様</v>
      </c>
      <c r="E33" s="55" t="str">
        <f>IF(_xlfn.XLOOKUP(ROW(E33)-ROW(E$28),報告用!$AM$4:$AM$39,報告用!$E$4:$E$39,"",FALSE)=B33,"",_xlfn.XLOOKUP(ROW(E33)-ROW(E$28),報告用!$AM$4:$AM$39,報告用!$E$4:$E$39,"",FALSE))</f>
        <v/>
      </c>
      <c r="F33" s="2"/>
      <c r="G33" s="213"/>
      <c r="H33" s="46">
        <f>_xlfn.XLOOKUP(ROW(H33)-ROW(H$28),報告用!$AN$4:$AN$39,報告用!$F$4:$F$39,"",FALSE)</f>
        <v>17</v>
      </c>
      <c r="I33" s="54" t="str">
        <f>_xlfn.XLOOKUP(ROW(I33)-ROW(I$28),報告用!$AN$4:$AN$39,報告用!$G$4:$G$39,"",FALSE)</f>
        <v>斎藤　潤一</v>
      </c>
      <c r="J33" s="10" t="str">
        <f t="shared" si="4"/>
        <v>様</v>
      </c>
      <c r="K33" s="47" t="str">
        <f>IF(_xlfn.XLOOKUP(ROW(K33)-ROW(K$28),報告用!$AN$4:$AN$39,報告用!$E$4:$E$39,"",FALSE)=H33,"",_xlfn.XLOOKUP(ROW(K33)-ROW(K$28),報告用!$AN$4:$AN$39,報告用!$E$4:$E$39,"",FALSE))</f>
        <v/>
      </c>
      <c r="L33" s="3"/>
      <c r="M33" s="213"/>
      <c r="N33" s="46">
        <f>_xlfn.XLOOKUP(ROW(N33)-ROW(N$28),報告用!$AO$4:$AO$39,報告用!$F$4:$F$39,"",FALSE)</f>
        <v>16</v>
      </c>
      <c r="O33" s="54" t="str">
        <f>_xlfn.XLOOKUP(ROW(O33)-ROW(O$28),報告用!$AO$4:$AO$39,報告用!$G$4:$G$39,"",FALSE)</f>
        <v>西山　望</v>
      </c>
      <c r="P33" s="10" t="str">
        <f t="shared" si="5"/>
        <v>様</v>
      </c>
      <c r="Q33" s="47" t="str">
        <f>IF(_xlfn.XLOOKUP(ROW(Q33)-ROW(Q$28),報告用!$AO$4:$AO$39,報告用!$E$4:$E$39,"",FALSE)=N33,"",_xlfn.XLOOKUP(ROW(Q33)-ROW(Q$28),報告用!$AO$4:$AO$39,報告用!$E$4:$E$39,"",FALSE))</f>
        <v/>
      </c>
    </row>
    <row r="34" spans="1:17" ht="27" customHeight="1">
      <c r="A34" s="213"/>
      <c r="B34" s="46">
        <f>_xlfn.XLOOKUP(ROW(B34)-ROW(B$28),報告用!$AM$4:$AM$39,報告用!$F$4:$F$39,"",FALSE)</f>
        <v>17</v>
      </c>
      <c r="C34" s="54" t="str">
        <f>_xlfn.XLOOKUP(ROW(C34)-ROW(C$28),報告用!$AM$4:$AM$39,報告用!$G$4:$G$39,"",FALSE)</f>
        <v>斎藤　潤一</v>
      </c>
      <c r="D34" s="10" t="str">
        <f t="shared" si="3"/>
        <v>様</v>
      </c>
      <c r="E34" s="47" t="str">
        <f>IF(_xlfn.XLOOKUP(ROW(E34)-ROW(E$28),報告用!$AM$4:$AM$39,報告用!$E$4:$E$39,"",FALSE)=B34,"",_xlfn.XLOOKUP(ROW(E34)-ROW(E$28),報告用!$AM$4:$AM$39,報告用!$E$4:$E$39,"",FALSE))</f>
        <v/>
      </c>
      <c r="F34" s="2"/>
      <c r="G34" s="213"/>
      <c r="H34" s="46">
        <f>_xlfn.XLOOKUP(ROW(H34)-ROW(H$28),報告用!$AN$4:$AN$39,報告用!$F$4:$F$39,"",FALSE)</f>
        <v>18</v>
      </c>
      <c r="I34" s="54" t="str">
        <f>_xlfn.XLOOKUP(ROW(I34)-ROW(I$28),報告用!$AN$4:$AN$39,報告用!$G$4:$G$39,"",FALSE)</f>
        <v>中澤　和江</v>
      </c>
      <c r="J34" s="10" t="str">
        <f t="shared" si="4"/>
        <v>様</v>
      </c>
      <c r="K34" s="47">
        <f>IF(_xlfn.XLOOKUP(ROW(K34)-ROW(K$28),報告用!$AN$4:$AN$39,報告用!$E$4:$E$39,"",FALSE)=H34,"",_xlfn.XLOOKUP(ROW(K34)-ROW(K$28),報告用!$AN$4:$AN$39,報告用!$E$4:$E$39,"",FALSE))</f>
        <v>17</v>
      </c>
      <c r="L34" s="3"/>
      <c r="M34" s="213"/>
      <c r="N34" s="46">
        <f>_xlfn.XLOOKUP(ROW(N34)-ROW(N$28),報告用!$AO$4:$AO$39,報告用!$F$4:$F$39,"",FALSE)</f>
        <v>17</v>
      </c>
      <c r="O34" s="54" t="str">
        <f>_xlfn.XLOOKUP(ROW(O34)-ROW(O$28),報告用!$AO$4:$AO$39,報告用!$G$4:$G$39,"",FALSE)</f>
        <v>斎藤　潤一</v>
      </c>
      <c r="P34" s="10" t="str">
        <f t="shared" si="5"/>
        <v>様</v>
      </c>
      <c r="Q34" s="47" t="str">
        <f>IF(_xlfn.XLOOKUP(ROW(Q34)-ROW(Q$28),報告用!$AO$4:$AO$39,報告用!$E$4:$E$39,"",FALSE)=N34,"",_xlfn.XLOOKUP(ROW(Q34)-ROW(Q$28),報告用!$AO$4:$AO$39,報告用!$E$4:$E$39,"",FALSE))</f>
        <v/>
      </c>
    </row>
    <row r="35" spans="1:17" ht="27" customHeight="1">
      <c r="A35" s="213"/>
      <c r="B35" s="46">
        <f>_xlfn.XLOOKUP(ROW(B35)-ROW(B$28),報告用!$AM$4:$AM$39,報告用!$F$4:$F$39,"",FALSE)</f>
        <v>18</v>
      </c>
      <c r="C35" s="54" t="str">
        <f>_xlfn.XLOOKUP(ROW(C35)-ROW(C$28),報告用!$AM$4:$AM$39,報告用!$G$4:$G$39,"",FALSE)</f>
        <v>中澤　和江</v>
      </c>
      <c r="D35" s="10" t="str">
        <f t="shared" si="3"/>
        <v>様</v>
      </c>
      <c r="E35" s="47">
        <f>IF(_xlfn.XLOOKUP(ROW(E35)-ROW(E$28),報告用!$AM$4:$AM$39,報告用!$E$4:$E$39,"",FALSE)=B35,"",_xlfn.XLOOKUP(ROW(E35)-ROW(E$28),報告用!$AM$4:$AM$39,報告用!$E$4:$E$39,"",FALSE))</f>
        <v>17</v>
      </c>
      <c r="F35" s="2"/>
      <c r="G35" s="213"/>
      <c r="H35" s="46">
        <f>_xlfn.XLOOKUP(ROW(H35)-ROW(H$28),報告用!$AN$4:$AN$39,報告用!$F$4:$F$39,"",FALSE)</f>
        <v>18</v>
      </c>
      <c r="I35" s="54" t="str">
        <f>_xlfn.XLOOKUP(ROW(I35)-ROW(I$28),報告用!$AN$4:$AN$39,報告用!$G$4:$G$39,"",FALSE)</f>
        <v>山本　たみ子</v>
      </c>
      <c r="J35" s="10" t="str">
        <f t="shared" si="4"/>
        <v>様</v>
      </c>
      <c r="K35" s="47" t="str">
        <f>IF(_xlfn.XLOOKUP(ROW(K35)-ROW(K$28),報告用!$AN$4:$AN$39,報告用!$E$4:$E$39,"",FALSE)=H35,"",_xlfn.XLOOKUP(ROW(K35)-ROW(K$28),報告用!$AN$4:$AN$39,報告用!$E$4:$E$39,"",FALSE))</f>
        <v/>
      </c>
      <c r="L35" s="3"/>
      <c r="M35" s="213"/>
      <c r="N35" s="46">
        <f>_xlfn.XLOOKUP(ROW(N35)-ROW(N$28),報告用!$AO$4:$AO$39,報告用!$F$4:$F$39,"",FALSE)</f>
        <v>18</v>
      </c>
      <c r="O35" s="54" t="str">
        <f>_xlfn.XLOOKUP(ROW(O35)-ROW(O$28),報告用!$AO$4:$AO$39,報告用!$G$4:$G$39,"",FALSE)</f>
        <v>中澤　和江</v>
      </c>
      <c r="P35" s="10" t="str">
        <f t="shared" si="5"/>
        <v>様</v>
      </c>
      <c r="Q35" s="47">
        <f>IF(_xlfn.XLOOKUP(ROW(Q35)-ROW(Q$28),報告用!$AO$4:$AO$39,報告用!$E$4:$E$39,"",FALSE)=N35,"",_xlfn.XLOOKUP(ROW(Q35)-ROW(Q$28),報告用!$AO$4:$AO$39,報告用!$E$4:$E$39,"",FALSE))</f>
        <v>17</v>
      </c>
    </row>
    <row r="36" spans="1:17" ht="27" customHeight="1">
      <c r="A36" s="213"/>
      <c r="B36" s="46">
        <f>_xlfn.XLOOKUP(ROW(B36)-ROW(B$28),報告用!$AM$4:$AM$39,報告用!$F$4:$F$39,"",FALSE)</f>
        <v>18</v>
      </c>
      <c r="C36" s="54" t="str">
        <f>_xlfn.XLOOKUP(ROW(C36)-ROW(C$28),報告用!$AM$4:$AM$39,報告用!$G$4:$G$39,"",FALSE)</f>
        <v>山本　たみ子</v>
      </c>
      <c r="D36" s="10" t="str">
        <f t="shared" si="3"/>
        <v>様</v>
      </c>
      <c r="E36" s="47" t="str">
        <f>IF(_xlfn.XLOOKUP(ROW(E36)-ROW(E$28),報告用!$AM$4:$AM$39,報告用!$E$4:$E$39,"",FALSE)=B36,"",_xlfn.XLOOKUP(ROW(E36)-ROW(E$28),報告用!$AM$4:$AM$39,報告用!$E$4:$E$39,"",FALSE))</f>
        <v/>
      </c>
      <c r="F36" s="2"/>
      <c r="G36" s="213"/>
      <c r="H36" s="46">
        <f>_xlfn.XLOOKUP(ROW(H36)-ROW(H$28),報告用!$AN$4:$AN$39,報告用!$F$4:$F$39,"",FALSE)</f>
        <v>20</v>
      </c>
      <c r="I36" s="54" t="str">
        <f>_xlfn.XLOOKUP(ROW(I36)-ROW(I$28),報告用!$AN$4:$AN$39,報告用!$G$4:$G$39,"",FALSE)</f>
        <v>小口　千穂</v>
      </c>
      <c r="J36" s="10" t="str">
        <f t="shared" si="4"/>
        <v>様</v>
      </c>
      <c r="K36" s="47" t="str">
        <f>IF(_xlfn.XLOOKUP(ROW(K36)-ROW(K$28),報告用!$AN$4:$AN$39,報告用!$E$4:$E$39,"",FALSE)=H36,"",_xlfn.XLOOKUP(ROW(K36)-ROW(K$28),報告用!$AN$4:$AN$39,報告用!$E$4:$E$39,"",FALSE))</f>
        <v/>
      </c>
      <c r="L36" s="3"/>
      <c r="M36" s="213"/>
      <c r="N36" s="46">
        <f>_xlfn.XLOOKUP(ROW(N36)-ROW(N$28),報告用!$AO$4:$AO$39,報告用!$F$4:$F$39,"",FALSE)</f>
        <v>18</v>
      </c>
      <c r="O36" s="54" t="str">
        <f>_xlfn.XLOOKUP(ROW(O36)-ROW(O$28),報告用!$AO$4:$AO$39,報告用!$G$4:$G$39,"",FALSE)</f>
        <v>深味　照子</v>
      </c>
      <c r="P36" s="10" t="str">
        <f t="shared" si="5"/>
        <v>様</v>
      </c>
      <c r="Q36" s="47" t="str">
        <f>IF(_xlfn.XLOOKUP(ROW(Q36)-ROW(Q$28),報告用!$AO$4:$AO$39,報告用!$E$4:$E$39,"",FALSE)=N36,"",_xlfn.XLOOKUP(ROW(Q36)-ROW(Q$28),報告用!$AO$4:$AO$39,報告用!$E$4:$E$39,"",FALSE))</f>
        <v/>
      </c>
    </row>
    <row r="37" spans="1:17" ht="27" customHeight="1">
      <c r="A37" s="213"/>
      <c r="B37" s="46">
        <f>_xlfn.XLOOKUP(ROW(B37)-ROW(B$28),報告用!$AM$4:$AM$39,報告用!$F$4:$F$39,"",FALSE)</f>
        <v>20</v>
      </c>
      <c r="C37" s="54" t="str">
        <f>_xlfn.XLOOKUP(ROW(C37)-ROW(C$28),報告用!$AM$4:$AM$39,報告用!$G$4:$G$39,"",FALSE)</f>
        <v>小口　千穂</v>
      </c>
      <c r="D37" s="10" t="str">
        <f t="shared" si="3"/>
        <v>様</v>
      </c>
      <c r="E37" s="47" t="str">
        <f>IF(_xlfn.XLOOKUP(ROW(E37)-ROW(E$28),報告用!$AM$4:$AM$39,報告用!$E$4:$E$39,"",FALSE)=B37,"",_xlfn.XLOOKUP(ROW(E37)-ROW(E$28),報告用!$AM$4:$AM$39,報告用!$E$4:$E$39,"",FALSE))</f>
        <v/>
      </c>
      <c r="F37" s="2"/>
      <c r="G37" s="213"/>
      <c r="H37" s="46">
        <f>_xlfn.XLOOKUP(ROW(H37)-ROW(H$28),報告用!$AN$4:$AN$39,報告用!$F$4:$F$39,"",FALSE)</f>
        <v>20</v>
      </c>
      <c r="I37" s="54" t="str">
        <f>_xlfn.XLOOKUP(ROW(I37)-ROW(I$28),報告用!$AN$4:$AN$39,報告用!$G$4:$G$39,"",FALSE)</f>
        <v>堀内　竹子</v>
      </c>
      <c r="J37" s="10" t="str">
        <f t="shared" si="4"/>
        <v>様</v>
      </c>
      <c r="K37" s="47" t="str">
        <f>IF(_xlfn.XLOOKUP(ROW(K37)-ROW(K$28),報告用!$AN$4:$AN$39,報告用!$E$4:$E$39,"",FALSE)=H37,"",_xlfn.XLOOKUP(ROW(K37)-ROW(K$28),報告用!$AN$4:$AN$39,報告用!$E$4:$E$39,"",FALSE))</f>
        <v/>
      </c>
      <c r="L37" s="3"/>
      <c r="M37" s="213"/>
      <c r="N37" s="46">
        <f>_xlfn.XLOOKUP(ROW(N37)-ROW(N$28),報告用!$AO$4:$AO$39,報告用!$F$4:$F$39,"",FALSE)</f>
        <v>18</v>
      </c>
      <c r="O37" s="54" t="str">
        <f>_xlfn.XLOOKUP(ROW(O37)-ROW(O$28),報告用!$AO$4:$AO$39,報告用!$G$4:$G$39,"",FALSE)</f>
        <v>山本　たみ子</v>
      </c>
      <c r="P37" s="10" t="str">
        <f t="shared" si="5"/>
        <v>様</v>
      </c>
      <c r="Q37" s="47" t="str">
        <f>IF(_xlfn.XLOOKUP(ROW(Q37)-ROW(Q$28),報告用!$AO$4:$AO$39,報告用!$E$4:$E$39,"",FALSE)=N37,"",_xlfn.XLOOKUP(ROW(Q37)-ROW(Q$28),報告用!$AO$4:$AO$39,報告用!$E$4:$E$39,"",FALSE))</f>
        <v/>
      </c>
    </row>
    <row r="38" spans="1:17" ht="27" customHeight="1">
      <c r="A38" s="213"/>
      <c r="B38" s="46">
        <f>_xlfn.XLOOKUP(ROW(B38)-ROW(B$28),報告用!$AM$4:$AM$39,報告用!$F$4:$F$39,"",FALSE)</f>
        <v>20</v>
      </c>
      <c r="C38" s="54" t="str">
        <f>_xlfn.XLOOKUP(ROW(C38)-ROW(C$28),報告用!$AM$4:$AM$39,報告用!$G$4:$G$39,"",FALSE)</f>
        <v>堀内　竹子</v>
      </c>
      <c r="D38" s="10" t="str">
        <f t="shared" si="3"/>
        <v>様</v>
      </c>
      <c r="E38" s="47" t="str">
        <f>IF(_xlfn.XLOOKUP(ROW(E38)-ROW(E$28),報告用!$AM$4:$AM$39,報告用!$E$4:$E$39,"",FALSE)=B38,"",_xlfn.XLOOKUP(ROW(E38)-ROW(E$28),報告用!$AM$4:$AM$39,報告用!$E$4:$E$39,"",FALSE))</f>
        <v/>
      </c>
      <c r="F38" s="2"/>
      <c r="G38" s="213"/>
      <c r="H38" s="46">
        <f>_xlfn.XLOOKUP(ROW(H38)-ROW(H$28),報告用!$AN$4:$AN$39,報告用!$F$4:$F$39,"",FALSE)</f>
        <v>21</v>
      </c>
      <c r="I38" s="54" t="str">
        <f>_xlfn.XLOOKUP(ROW(I38)-ROW(I$28),報告用!$AN$4:$AN$39,報告用!$G$4:$G$39,"",FALSE)</f>
        <v>小林　國光</v>
      </c>
      <c r="J38" s="10" t="str">
        <f t="shared" si="4"/>
        <v>様</v>
      </c>
      <c r="K38" s="47">
        <f>IF(_xlfn.XLOOKUP(ROW(K38)-ROW(K$28),報告用!$AN$4:$AN$39,報告用!$E$4:$E$39,"",FALSE)=H38,"",_xlfn.XLOOKUP(ROW(K38)-ROW(K$28),報告用!$AN$4:$AN$39,報告用!$E$4:$E$39,"",FALSE))</f>
        <v>17</v>
      </c>
      <c r="L38" s="3"/>
      <c r="M38" s="213"/>
      <c r="N38" s="46">
        <f>_xlfn.XLOOKUP(ROW(N38)-ROW(N$28),報告用!$AO$4:$AO$39,報告用!$F$4:$F$39,"",FALSE)</f>
        <v>20</v>
      </c>
      <c r="O38" s="54" t="str">
        <f>_xlfn.XLOOKUP(ROW(O38)-ROW(O$28),報告用!$AO$4:$AO$39,報告用!$G$4:$G$39,"",FALSE)</f>
        <v>小口　千穂</v>
      </c>
      <c r="P38" s="10" t="str">
        <f t="shared" si="5"/>
        <v>様</v>
      </c>
      <c r="Q38" s="47" t="str">
        <f>IF(_xlfn.XLOOKUP(ROW(Q38)-ROW(Q$28),報告用!$AO$4:$AO$39,報告用!$E$4:$E$39,"",FALSE)=N38,"",_xlfn.XLOOKUP(ROW(Q38)-ROW(Q$28),報告用!$AO$4:$AO$39,報告用!$E$4:$E$39,"",FALSE))</f>
        <v/>
      </c>
    </row>
    <row r="39" spans="1:17" ht="27" customHeight="1">
      <c r="A39" s="213"/>
      <c r="B39" s="46">
        <f>_xlfn.XLOOKUP(ROW(B39)-ROW(B$28),報告用!$AM$4:$AM$39,報告用!$F$4:$F$39,"",FALSE)</f>
        <v>21</v>
      </c>
      <c r="C39" s="54" t="str">
        <f>_xlfn.XLOOKUP(ROW(C39)-ROW(C$28),報告用!$AM$4:$AM$39,報告用!$G$4:$G$39,"",FALSE)</f>
        <v>小林　國光</v>
      </c>
      <c r="D39" s="10" t="str">
        <f t="shared" si="3"/>
        <v>様</v>
      </c>
      <c r="E39" s="47">
        <f>IF(_xlfn.XLOOKUP(ROW(E39)-ROW(E$28),報告用!$AM$4:$AM$39,報告用!$E$4:$E$39,"",FALSE)=B39,"",_xlfn.XLOOKUP(ROW(E39)-ROW(E$28),報告用!$AM$4:$AM$39,報告用!$E$4:$E$39,"",FALSE))</f>
        <v>17</v>
      </c>
      <c r="F39" s="2"/>
      <c r="G39" s="213"/>
      <c r="H39" s="46">
        <f>_xlfn.XLOOKUP(ROW(H39)-ROW(H$28),報告用!$AN$4:$AN$39,報告用!$F$4:$F$39,"",FALSE)</f>
        <v>21</v>
      </c>
      <c r="I39" s="54" t="str">
        <f>_xlfn.XLOOKUP(ROW(I39)-ROW(I$28),報告用!$AN$4:$AN$39,報告用!$G$4:$G$39,"",FALSE)</f>
        <v>土田　茂</v>
      </c>
      <c r="J39" s="10" t="str">
        <f t="shared" si="4"/>
        <v>様</v>
      </c>
      <c r="K39" s="47" t="str">
        <f>IF(_xlfn.XLOOKUP(ROW(K39)-ROW(K$28),報告用!$AN$4:$AN$39,報告用!$E$4:$E$39,"",FALSE)=H39,"",_xlfn.XLOOKUP(ROW(K39)-ROW(K$28),報告用!$AN$4:$AN$39,報告用!$E$4:$E$39,"",FALSE))</f>
        <v/>
      </c>
      <c r="L39" s="3"/>
      <c r="M39" s="213"/>
      <c r="N39" s="46">
        <f>_xlfn.XLOOKUP(ROW(N39)-ROW(N$28),報告用!$AO$4:$AO$39,報告用!$F$4:$F$39,"",FALSE)</f>
        <v>20</v>
      </c>
      <c r="O39" s="54" t="str">
        <f>_xlfn.XLOOKUP(ROW(O39)-ROW(O$28),報告用!$AO$4:$AO$39,報告用!$G$4:$G$39,"",FALSE)</f>
        <v>堀内　竹子</v>
      </c>
      <c r="P39" s="10" t="str">
        <f t="shared" si="5"/>
        <v>様</v>
      </c>
      <c r="Q39" s="47" t="str">
        <f>IF(_xlfn.XLOOKUP(ROW(Q39)-ROW(Q$28),報告用!$AO$4:$AO$39,報告用!$E$4:$E$39,"",FALSE)=N39,"",_xlfn.XLOOKUP(ROW(Q39)-ROW(Q$28),報告用!$AO$4:$AO$39,報告用!$E$4:$E$39,"",FALSE))</f>
        <v/>
      </c>
    </row>
    <row r="40" spans="1:17" ht="27" customHeight="1" thickBot="1">
      <c r="A40" s="217"/>
      <c r="B40" s="56">
        <f>_xlfn.XLOOKUP(ROW(B40)-ROW(B$28),報告用!$AM$4:$AM$39,報告用!$F$4:$F$39,"",FALSE)</f>
        <v>21</v>
      </c>
      <c r="C40" s="64" t="str">
        <f>_xlfn.XLOOKUP(ROW(C40)-ROW(C$28),報告用!$AM$4:$AM$39,報告用!$G$4:$G$39,"",FALSE)</f>
        <v>土田　茂</v>
      </c>
      <c r="D40" s="19" t="str">
        <f t="shared" si="3"/>
        <v>様</v>
      </c>
      <c r="E40" s="57" t="str">
        <f>IF(_xlfn.XLOOKUP(ROW(E40)-ROW(E$28),報告用!$AM$4:$AM$39,報告用!$E$4:$E$39,"",FALSE)=B40,"",_xlfn.XLOOKUP(ROW(E40)-ROW(E$28),報告用!$AM$4:$AM$39,報告用!$E$4:$E$39,"",FALSE))</f>
        <v/>
      </c>
      <c r="F40" s="2"/>
      <c r="G40" s="217"/>
      <c r="H40" s="56">
        <f>_xlfn.XLOOKUP(ROW(H40)-ROW(H$28),報告用!$AN$4:$AN$39,報告用!$F$4:$F$39,"",FALSE)</f>
        <v>21</v>
      </c>
      <c r="I40" s="64" t="str">
        <f>_xlfn.XLOOKUP(ROW(I40)-ROW(I$28),報告用!$AN$4:$AN$39,報告用!$G$4:$G$39,"",FALSE)</f>
        <v>加納　鉄也</v>
      </c>
      <c r="J40" s="19" t="str">
        <f t="shared" si="4"/>
        <v>様</v>
      </c>
      <c r="K40" s="57">
        <f>IF(_xlfn.XLOOKUP(ROW(K40)-ROW(K$28),報告用!$AN$4:$AN$39,報告用!$E$4:$E$39,"",FALSE)=H40,"",_xlfn.XLOOKUP(ROW(K40)-ROW(K$28),報告用!$AN$4:$AN$39,報告用!$E$4:$E$39,"",FALSE))</f>
        <v>16</v>
      </c>
      <c r="L40" s="3"/>
      <c r="M40" s="217"/>
      <c r="N40" s="56">
        <f>_xlfn.XLOOKUP(ROW(N40)-ROW(N$28),報告用!$AO$4:$AO$39,報告用!$F$4:$F$39,"",FALSE)</f>
        <v>21</v>
      </c>
      <c r="O40" s="64" t="str">
        <f>_xlfn.XLOOKUP(ROW(O40)-ROW(O$28),報告用!$AO$4:$AO$39,報告用!$G$4:$G$39,"",FALSE)</f>
        <v>小林　國光</v>
      </c>
      <c r="P40" s="19" t="str">
        <f t="shared" si="5"/>
        <v>様</v>
      </c>
      <c r="Q40" s="57">
        <f>IF(_xlfn.XLOOKUP(ROW(Q40)-ROW(Q$28),報告用!$AO$4:$AO$39,報告用!$E$4:$E$39,"",FALSE)=N40,"",_xlfn.XLOOKUP(ROW(Q40)-ROW(Q$28),報告用!$AO$4:$AO$39,報告用!$E$4:$E$39,"",FALSE))</f>
        <v>17</v>
      </c>
    </row>
    <row r="41" spans="1:17" ht="27" customHeight="1">
      <c r="A41" s="23"/>
      <c r="B41" s="23"/>
      <c r="C41" s="23"/>
      <c r="D41" s="23"/>
      <c r="E41" s="23"/>
      <c r="F41" s="23"/>
      <c r="G41" s="202" t="s">
        <v>41</v>
      </c>
      <c r="H41" s="202"/>
      <c r="I41" s="202"/>
      <c r="J41" s="202"/>
      <c r="K41" s="202"/>
      <c r="L41" s="23"/>
      <c r="M41" s="23"/>
      <c r="N41" s="23"/>
      <c r="O41" s="23"/>
      <c r="P41" s="23"/>
      <c r="Q41" s="23"/>
    </row>
    <row r="42" spans="1:17" ht="27" customHeight="1" thickBot="1">
      <c r="A42" s="204" t="s">
        <v>50</v>
      </c>
      <c r="B42" s="204"/>
      <c r="C42" s="204"/>
      <c r="D42" s="204"/>
      <c r="E42" s="204"/>
      <c r="F42" s="23"/>
      <c r="G42" s="203"/>
      <c r="H42" s="203"/>
      <c r="I42" s="203"/>
      <c r="J42" s="203"/>
      <c r="K42" s="203"/>
      <c r="L42" s="23"/>
      <c r="M42" s="205">
        <f>報告用!$O$2</f>
        <v>46106</v>
      </c>
      <c r="N42" s="205"/>
      <c r="O42" s="205"/>
      <c r="P42" s="205"/>
      <c r="Q42" s="205"/>
    </row>
    <row r="43" spans="1:17" ht="27" customHeight="1">
      <c r="A43" s="206" t="s">
        <v>31</v>
      </c>
      <c r="B43" s="208" t="s">
        <v>36</v>
      </c>
      <c r="C43" s="208"/>
      <c r="D43" s="208"/>
      <c r="E43" s="209"/>
      <c r="F43" s="2"/>
      <c r="G43" s="206" t="s">
        <v>31</v>
      </c>
      <c r="H43" s="208" t="s">
        <v>9</v>
      </c>
      <c r="I43" s="208"/>
      <c r="J43" s="208"/>
      <c r="K43" s="209"/>
      <c r="L43" s="3"/>
      <c r="M43" s="206" t="s">
        <v>31</v>
      </c>
      <c r="N43" s="208" t="s">
        <v>10</v>
      </c>
      <c r="O43" s="208"/>
      <c r="P43" s="208"/>
      <c r="Q43" s="209"/>
    </row>
    <row r="44" spans="1:17" ht="27" customHeight="1" thickBot="1">
      <c r="A44" s="207"/>
      <c r="B44" s="4" t="s">
        <v>18</v>
      </c>
      <c r="C44" s="210" t="s">
        <v>17</v>
      </c>
      <c r="D44" s="211"/>
      <c r="E44" s="5" t="s">
        <v>30</v>
      </c>
      <c r="F44" s="2"/>
      <c r="G44" s="207"/>
      <c r="H44" s="4" t="s">
        <v>18</v>
      </c>
      <c r="I44" s="210" t="s">
        <v>17</v>
      </c>
      <c r="J44" s="211"/>
      <c r="K44" s="5" t="s">
        <v>30</v>
      </c>
      <c r="L44" s="3"/>
      <c r="M44" s="207"/>
      <c r="N44" s="4" t="s">
        <v>18</v>
      </c>
      <c r="O44" s="210" t="s">
        <v>17</v>
      </c>
      <c r="P44" s="211"/>
      <c r="Q44" s="5" t="s">
        <v>30</v>
      </c>
    </row>
    <row r="45" spans="1:17" ht="27" customHeight="1" thickTop="1">
      <c r="A45" s="212" t="s">
        <v>32</v>
      </c>
      <c r="B45" s="70">
        <f>_xlfn.XLOOKUP(ROW(B45)-ROW(B$44),報告用!$AC$44:$AC$87,報告用!F$44:F$87,"",FALSE)</f>
        <v>23</v>
      </c>
      <c r="C45" s="70" t="str">
        <f>_xlfn.XLOOKUP(ROW(C45)-ROW(C$44),報告用!$AC$44:$AC$87,報告用!G$44:G$87,"",FALSE)</f>
        <v>森下計二</v>
      </c>
      <c r="D45" s="7" t="str">
        <f>IF(C45="","","様")</f>
        <v>様</v>
      </c>
      <c r="E45" s="50" t="str">
        <f>IF(_xlfn.XLOOKUP(ROW(E45)-ROW(E$44),報告用!$AC$44:$AC$87,報告用!E$44:E$87,"",FALSE)=B45,"",_xlfn.XLOOKUP(ROW(E45)-ROW(E$44),報告用!$AC$44:$AC$87,報告用!E$44:E$87,"",FALSE))</f>
        <v/>
      </c>
      <c r="F45" s="2"/>
      <c r="G45" s="215" t="s">
        <v>35</v>
      </c>
      <c r="H45" s="49">
        <f>_xlfn.XLOOKUP(ROW(H45)-ROW(H$44),報告用!$AF$44:$AF$87,報告用!$F$44:$F$87,"",FALSE)</f>
        <v>22</v>
      </c>
      <c r="I45" s="48" t="str">
        <f>_xlfn.XLOOKUP(ROW(I45)-ROW(I$44),報告用!$AF$44:$AF$87,報告用!$G$44:$G$87,"",FALSE)</f>
        <v>丸山　由美子</v>
      </c>
      <c r="J45" s="67" t="str">
        <f t="shared" ref="J45:J60" si="6">IF(I45="","","様")</f>
        <v>様</v>
      </c>
      <c r="K45" s="50" t="str">
        <f>IF(_xlfn.XLOOKUP(ROW(K45)-ROW(K$44),報告用!$AF$44:$AF$87,報告用!$E$44:$E$87,"",FALSE)=H45,"",_xlfn.XLOOKUP(ROW(K45)-ROW(K$44),報告用!$AF$44:$AF$87,報告用!$E$44:$E$87,"",FALSE))</f>
        <v/>
      </c>
      <c r="L45" s="3"/>
      <c r="M45" s="215" t="s">
        <v>35</v>
      </c>
      <c r="N45" s="49">
        <f>_xlfn.XLOOKUP(ROW(N45)-ROW(N$44),報告用!$AG$44:$AG$87,報告用!$F$44:$F$87,"",FALSE)</f>
        <v>22</v>
      </c>
      <c r="O45" s="48" t="str">
        <f>_xlfn.XLOOKUP(ROW(O45)-ROW(O$44),報告用!$AG$44:$AG$87,報告用!$G$44:$G$87,"",FALSE)</f>
        <v>丸山　由美子</v>
      </c>
      <c r="P45" s="7" t="str">
        <f t="shared" ref="P45:P60" si="7">IF(O45="","","様")</f>
        <v>様</v>
      </c>
      <c r="Q45" s="50" t="str">
        <f>IF(_xlfn.XLOOKUP(ROW(Q45)-ROW(Q$44),報告用!$AG$44:$AG$87,報告用!$E$44:$E$87,"",FALSE)=N45,"",_xlfn.XLOOKUP(ROW(Q45)-ROW(Q$44),報告用!$AG$44:$AG$87,報告用!$E$44:$E$87,"",FALSE))</f>
        <v/>
      </c>
    </row>
    <row r="46" spans="1:17" ht="27" customHeight="1">
      <c r="A46" s="213"/>
      <c r="B46" s="9"/>
      <c r="C46" s="25"/>
      <c r="D46" s="10" t="str">
        <f>IF(C46="","","様")</f>
        <v/>
      </c>
      <c r="E46" s="47" t="str">
        <f>IF(_xlfn.XLOOKUP(ROW(E46)-ROW(E$48),報告用!$AK$44:$AK$87,報告用!$E$44:$E$87,"",FALSE)=B46,"",_xlfn.XLOOKUP(ROW(E46)-ROW(E$48),報告用!$AK$44:$AK$87,報告用!$E$44:$E$87,"",FALSE))</f>
        <v/>
      </c>
      <c r="F46" s="2"/>
      <c r="G46" s="216"/>
      <c r="H46" s="46">
        <f>_xlfn.XLOOKUP(ROW(H46)-ROW(H$44),報告用!$AF$44:$AF$87,報告用!$F$44:$F$87,"",FALSE)</f>
        <v>23</v>
      </c>
      <c r="I46" s="54" t="str">
        <f>_xlfn.XLOOKUP(ROW(I46)-ROW(I$44),報告用!$AF$44:$AF$87,報告用!$G$44:$G$87,"",FALSE)</f>
        <v>森下計二</v>
      </c>
      <c r="J46" s="68" t="str">
        <f t="shared" si="6"/>
        <v>様</v>
      </c>
      <c r="K46" s="47" t="str">
        <f>IF(_xlfn.XLOOKUP(ROW(K46)-ROW(K$44),報告用!$AF$44:$AF$87,報告用!$E$44:$E$87,"",FALSE)=H46,"",_xlfn.XLOOKUP(ROW(K46)-ROW(K$44),報告用!$AF$44:$AF$87,報告用!$E$44:$E$87,"",FALSE))</f>
        <v/>
      </c>
      <c r="L46" s="3"/>
      <c r="M46" s="216"/>
      <c r="N46" s="46">
        <f>_xlfn.XLOOKUP(ROW(N46)-ROW(N$44),報告用!$AG$44:$AG$87,報告用!$F$44:$F$87,"",FALSE)</f>
        <v>23</v>
      </c>
      <c r="O46" s="54" t="str">
        <f>_xlfn.XLOOKUP(ROW(O46)-ROW(O$44),報告用!$AG$44:$AG$87,報告用!$G$44:$G$87,"",FALSE)</f>
        <v>森下計二</v>
      </c>
      <c r="P46" s="10" t="str">
        <f t="shared" si="7"/>
        <v>様</v>
      </c>
      <c r="Q46" s="47" t="str">
        <f>IF(_xlfn.XLOOKUP(ROW(Q46)-ROW(Q$44),報告用!$AG$44:$AG$87,報告用!$E$44:$E$87,"",FALSE)=N46,"",_xlfn.XLOOKUP(ROW(Q46)-ROW(Q$44),報告用!$AG$44:$AG$87,報告用!$E$44:$E$87,"",FALSE))</f>
        <v/>
      </c>
    </row>
    <row r="47" spans="1:17" ht="27" customHeight="1">
      <c r="A47" s="213"/>
      <c r="B47" s="61">
        <v>7</v>
      </c>
      <c r="C47" s="63" t="s">
        <v>59</v>
      </c>
      <c r="D47" s="62" t="str">
        <f t="shared" ref="D47:D60" si="8">IF(C47="","","様")</f>
        <v>様</v>
      </c>
      <c r="E47" s="47"/>
      <c r="F47" s="2"/>
      <c r="G47" s="216"/>
      <c r="H47" s="46">
        <f>_xlfn.XLOOKUP(ROW(H47)-ROW(H$44),報告用!$AF$44:$AF$87,報告用!$F$44:$F$87,"",FALSE)</f>
        <v>25</v>
      </c>
      <c r="I47" s="54" t="str">
        <f>_xlfn.XLOOKUP(ROW(I47)-ROW(I$44),報告用!$AF$44:$AF$87,報告用!$G$44:$G$87,"",FALSE)</f>
        <v>鈴木　賢浄</v>
      </c>
      <c r="J47" s="68" t="str">
        <f t="shared" si="6"/>
        <v>様</v>
      </c>
      <c r="K47" s="47" t="str">
        <f>IF(_xlfn.XLOOKUP(ROW(K47)-ROW(K$44),報告用!$AF$44:$AF$87,報告用!$E$44:$E$87,"",FALSE)=H47,"",_xlfn.XLOOKUP(ROW(K47)-ROW(K$44),報告用!$AF$44:$AF$87,報告用!$E$44:$E$87,"",FALSE))</f>
        <v/>
      </c>
      <c r="L47" s="3"/>
      <c r="M47" s="216"/>
      <c r="N47" s="46">
        <f>_xlfn.XLOOKUP(ROW(N47)-ROW(N$44),報告用!$AG$44:$AG$87,報告用!$F$44:$F$87,"",FALSE)</f>
        <v>25</v>
      </c>
      <c r="O47" s="54" t="str">
        <f>_xlfn.XLOOKUP(ROW(O47)-ROW(O$44),報告用!$AG$44:$AG$87,報告用!$G$44:$G$87,"",FALSE)</f>
        <v>鈴木　賢浄</v>
      </c>
      <c r="P47" s="10" t="str">
        <f t="shared" si="7"/>
        <v>様</v>
      </c>
      <c r="Q47" s="47" t="str">
        <f>IF(_xlfn.XLOOKUP(ROW(Q47)-ROW(Q$44),報告用!$AG$44:$AG$87,報告用!$E$44:$E$87,"",FALSE)=N47,"",_xlfn.XLOOKUP(ROW(Q47)-ROW(Q$44),報告用!$AG$44:$AG$87,報告用!$E$44:$E$87,"",FALSE))</f>
        <v/>
      </c>
    </row>
    <row r="48" spans="1:17" ht="27" customHeight="1" thickBot="1">
      <c r="A48" s="213"/>
      <c r="B48" s="63">
        <v>2</v>
      </c>
      <c r="C48" s="63" t="s">
        <v>61</v>
      </c>
      <c r="D48" s="10" t="str">
        <f t="shared" si="8"/>
        <v>様</v>
      </c>
      <c r="E48" s="47">
        <f>IF(_xlfn.XLOOKUP(ROW(E48)-ROW(E$44),報告用!$AC$44:$AC$87,報告用!E$44:E$87,"",FALSE)=B48,"",_xlfn.XLOOKUP(ROW(E48)-ROW(E$44),報告用!$AC$44:$AC$87,報告用!E$44:E$87,"",FALSE))</f>
        <v>5</v>
      </c>
      <c r="F48" s="2"/>
      <c r="G48" s="207"/>
      <c r="H48" s="52">
        <f>_xlfn.XLOOKUP(ROW(H48)-ROW(H$44),報告用!$AF$44:$AF$87,報告用!$F$44:$F$87,"",FALSE)</f>
        <v>1</v>
      </c>
      <c r="I48" s="51" t="str">
        <f>_xlfn.XLOOKUP(ROW(I48)-ROW(I$44),報告用!$AF$44:$AF$87,報告用!$G$44:$G$87,"",FALSE)</f>
        <v>笹本　定子</v>
      </c>
      <c r="J48" s="69" t="str">
        <f t="shared" si="6"/>
        <v>様</v>
      </c>
      <c r="K48" s="53" t="str">
        <f>IF(_xlfn.XLOOKUP(ROW(K48)-ROW(K$44),報告用!$AF$44:$AF$87,報告用!$E$44:$E$87,"",FALSE)=H48,"",_xlfn.XLOOKUP(ROW(K48)-ROW(K$44),報告用!$AF$44:$AF$87,報告用!$E$44:$E$87,"",FALSE))</f>
        <v/>
      </c>
      <c r="L48" s="3"/>
      <c r="M48" s="207"/>
      <c r="N48" s="52">
        <f>_xlfn.XLOOKUP(ROW(N48)-ROW(N$44),報告用!$AG$44:$AG$87,報告用!$F$44:$F$87,"",FALSE)</f>
        <v>1</v>
      </c>
      <c r="O48" s="51" t="str">
        <f>_xlfn.XLOOKUP(ROW(O48)-ROW(O$44),報告用!$AG$44:$AG$87,報告用!$G$44:$G$87,"",FALSE)</f>
        <v>笹本　定子</v>
      </c>
      <c r="P48" s="13" t="str">
        <f t="shared" si="7"/>
        <v>様</v>
      </c>
      <c r="Q48" s="53" t="str">
        <f>IF(_xlfn.XLOOKUP(ROW(Q48)-ROW(Q$44),報告用!$AG$44:$AG$87,報告用!$E$44:$E$87,"",FALSE)=N48,"",_xlfn.XLOOKUP(ROW(Q48)-ROW(Q$44),報告用!$AG$44:$AG$87,報告用!$E$44:$E$87,"",FALSE))</f>
        <v/>
      </c>
    </row>
    <row r="49" spans="1:17" ht="27" customHeight="1" thickTop="1">
      <c r="A49" s="213"/>
      <c r="B49" s="46">
        <f>_xlfn.XLOOKUP(ROW(B49)-ROW(B$44),報告用!$AC$44:$AC$87,報告用!F$44:F$87,"",FALSE)</f>
        <v>6</v>
      </c>
      <c r="C49" s="54" t="str">
        <f>_xlfn.XLOOKUP(ROW(C49)-ROW(C$44),報告用!$AC$44:$AC$87,報告用!G$44:G$87,"",FALSE)</f>
        <v>★フジイロザスミコ</v>
      </c>
      <c r="D49" s="10" t="str">
        <f t="shared" si="8"/>
        <v>様</v>
      </c>
      <c r="E49" s="47" t="str">
        <f>IF(_xlfn.XLOOKUP(ROW(E49)-ROW(E$44),報告用!$AC$44:$AC$87,報告用!E$44:E$87,"",FALSE)=B49,"",_xlfn.XLOOKUP(ROW(E49)-ROW(E$44),報告用!$AC$44:$AC$87,報告用!E$44:E$87,"",FALSE))</f>
        <v/>
      </c>
      <c r="F49" s="2"/>
      <c r="G49" s="213" t="s">
        <v>25</v>
      </c>
      <c r="H49" s="15" t="str">
        <f>_xlfn.XLOOKUP(ROW(H49)-ROW(H$48),報告用!$AI$42:$AI$69,報告用!$F$42:$F$69,"",FALSE)</f>
        <v/>
      </c>
      <c r="I49" s="27" t="str">
        <f>_xlfn.XLOOKUP(ROW(I49)-ROW(I$48),報告用!$AI$42:$AI$69,報告用!$G$42:$G$69,"",FALSE)</f>
        <v/>
      </c>
      <c r="J49" s="16" t="str">
        <f t="shared" si="6"/>
        <v/>
      </c>
      <c r="K49" s="17" t="str">
        <f>IF(_xlfn.XLOOKUP(ROW(K49)-ROW(K$48),報告用!$AI$42:$AI$69,報告用!$E$42:$E$69,"",FALSE)=H49,"",_xlfn.XLOOKUP(ROW(K49)-ROW(K$48),報告用!$AI$42:$AI$69,報告用!$E$42:$E$69,"",FALSE))</f>
        <v/>
      </c>
      <c r="L49" s="3"/>
      <c r="M49" s="213" t="s">
        <v>25</v>
      </c>
      <c r="N49" s="15" t="str">
        <f>_xlfn.XLOOKUP(ROW(N49)-ROW(N$48),報告用!$AJ$42:$AJ$69,報告用!$F$42:$F$69,"",FALSE)</f>
        <v/>
      </c>
      <c r="O49" s="27" t="str">
        <f>_xlfn.XLOOKUP(ROW(O49)-ROW(O$48),報告用!$AJ$42:$AJ$69,報告用!$G$42:$G$69,"",FALSE)</f>
        <v/>
      </c>
      <c r="P49" s="16" t="str">
        <f t="shared" si="7"/>
        <v/>
      </c>
      <c r="Q49" s="17" t="str">
        <f>IF(_xlfn.XLOOKUP(ROW(Q49)-ROW(Q$48),報告用!$AJ$42:$AJ$69,報告用!$E$42:$E$69,"",FALSE)=N49,"",_xlfn.XLOOKUP(ROW(Q49)-ROW(Q$48),報告用!$AJ$42:$AJ$69,報告用!$E$42:$E$69,"",FALSE))</f>
        <v/>
      </c>
    </row>
    <row r="50" spans="1:17" ht="27" customHeight="1">
      <c r="A50" s="213"/>
      <c r="B50" s="46">
        <f>_xlfn.XLOOKUP(ROW(B50)-ROW(B$44),報告用!$AC$44:$AC$87,報告用!F$44:F$87,"",FALSE)</f>
        <v>7</v>
      </c>
      <c r="C50" s="54" t="str">
        <f>_xlfn.XLOOKUP(ROW(C50)-ROW(C$44),報告用!$AC$44:$AC$87,報告用!G$44:G$87,"",FALSE)</f>
        <v>★佐藤　光正</v>
      </c>
      <c r="D50" s="10" t="str">
        <f t="shared" si="8"/>
        <v>様</v>
      </c>
      <c r="E50" s="47" t="str">
        <f>IF(_xlfn.XLOOKUP(ROW(E50)-ROW(E$44),報告用!$AC$44:$AC$87,報告用!E$44:E$87,"",FALSE)=B50,"",_xlfn.XLOOKUP(ROW(E50)-ROW(E$44),報告用!$AC$44:$AC$87,報告用!E$44:E$87,"",FALSE))</f>
        <v/>
      </c>
      <c r="F50" s="2"/>
      <c r="G50" s="213"/>
      <c r="H50" s="9">
        <f>_xlfn.XLOOKUP(ROW(H50)-ROW(H$48),報告用!$AI$42:$AI$69,報告用!$F$42:$F$69,"",FALSE)</f>
        <v>23</v>
      </c>
      <c r="I50" s="25" t="str">
        <f>_xlfn.XLOOKUP(ROW(I50)-ROW(I$48),報告用!$AI$42:$AI$69,報告用!$G$42:$G$69,"",FALSE)</f>
        <v>森下計二</v>
      </c>
      <c r="J50" s="10" t="str">
        <f t="shared" si="6"/>
        <v>様</v>
      </c>
      <c r="K50" s="11" t="str">
        <f>IF(_xlfn.XLOOKUP(ROW(K50)-ROW(K$48),報告用!$AI$42:$AI$69,報告用!$E$42:$E$69,"",FALSE)=H50,"",_xlfn.XLOOKUP(ROW(K50)-ROW(K$48),報告用!$AI$42:$AI$69,報告用!$E$42:$E$69,"",FALSE))</f>
        <v/>
      </c>
      <c r="L50" s="3"/>
      <c r="M50" s="213"/>
      <c r="N50" s="9">
        <f>_xlfn.XLOOKUP(ROW(N50)-ROW(N$48),報告用!$AJ$42:$AJ$69,報告用!$F$42:$F$69,"",FALSE)</f>
        <v>23</v>
      </c>
      <c r="O50" s="25" t="str">
        <f>_xlfn.XLOOKUP(ROW(O50)-ROW(O$48),報告用!$AJ$42:$AJ$69,報告用!$G$42:$G$69,"",FALSE)</f>
        <v>森下計二</v>
      </c>
      <c r="P50" s="10" t="str">
        <f t="shared" si="7"/>
        <v>様</v>
      </c>
      <c r="Q50" s="11" t="str">
        <f>IF(_xlfn.XLOOKUP(ROW(Q50)-ROW(Q$48),報告用!$AJ$42:$AJ$69,報告用!$E$42:$E$69,"",FALSE)=N50,"",_xlfn.XLOOKUP(ROW(Q50)-ROW(Q$48),報告用!$AJ$42:$AJ$69,報告用!$E$42:$E$69,"",FALSE))</f>
        <v/>
      </c>
    </row>
    <row r="51" spans="1:17" ht="27" customHeight="1">
      <c r="A51" s="213"/>
      <c r="B51" s="46" t="str">
        <f>_xlfn.XLOOKUP(ROW(B51)-ROW(B$44),報告用!$AC$44:$AC$87,報告用!F$44:F$87,"",FALSE)</f>
        <v/>
      </c>
      <c r="C51" s="54" t="str">
        <f>_xlfn.XLOOKUP(ROW(C51)-ROW(C$44),報告用!$AC$44:$AC$87,報告用!G$44:G$87,"",FALSE)</f>
        <v/>
      </c>
      <c r="D51" s="10" t="str">
        <f t="shared" si="8"/>
        <v/>
      </c>
      <c r="E51" s="47" t="str">
        <f>IF(_xlfn.XLOOKUP(ROW(E51)-ROW(E$44),報告用!$AC$44:$AC$87,報告用!E$44:E$87,"",FALSE)=B51,"",_xlfn.XLOOKUP(ROW(E51)-ROW(E$44),報告用!$AC$44:$AC$87,報告用!E$44:E$87,"",FALSE))</f>
        <v/>
      </c>
      <c r="F51" s="2"/>
      <c r="G51" s="213"/>
      <c r="H51" s="9">
        <f>_xlfn.XLOOKUP(ROW(H51)-ROW(H$48),報告用!$AI$42:$AI$69,報告用!$F$42:$F$69,"",FALSE)</f>
        <v>25</v>
      </c>
      <c r="I51" s="25" t="str">
        <f>_xlfn.XLOOKUP(ROW(I51)-ROW(I$48),報告用!$AI$42:$AI$69,報告用!$G$42:$G$69,"",FALSE)</f>
        <v>鈴木　賢浄</v>
      </c>
      <c r="J51" s="10" t="str">
        <f t="shared" si="6"/>
        <v>様</v>
      </c>
      <c r="K51" s="11" t="str">
        <f>IF(_xlfn.XLOOKUP(ROW(K51)-ROW(K$48),報告用!$AI$42:$AI$69,報告用!$E$42:$E$69,"",FALSE)=H51,"",_xlfn.XLOOKUP(ROW(K51)-ROW(K$48),報告用!$AI$42:$AI$69,報告用!$E$42:$E$69,"",FALSE))</f>
        <v/>
      </c>
      <c r="L51" s="3"/>
      <c r="M51" s="213"/>
      <c r="N51" s="9">
        <f>_xlfn.XLOOKUP(ROW(N51)-ROW(N$48),報告用!$AJ$42:$AJ$69,報告用!$F$42:$F$69,"",FALSE)</f>
        <v>25</v>
      </c>
      <c r="O51" s="25" t="str">
        <f>_xlfn.XLOOKUP(ROW(O51)-ROW(O$48),報告用!$AJ$42:$AJ$69,報告用!$G$42:$G$69,"",FALSE)</f>
        <v>鈴木　賢浄</v>
      </c>
      <c r="P51" s="10" t="str">
        <f t="shared" si="7"/>
        <v>様</v>
      </c>
      <c r="Q51" s="11" t="str">
        <f>IF(_xlfn.XLOOKUP(ROW(Q51)-ROW(Q$48),報告用!$AJ$42:$AJ$69,報告用!$E$42:$E$69,"",FALSE)=N51,"",_xlfn.XLOOKUP(ROW(Q51)-ROW(Q$48),報告用!$AJ$42:$AJ$69,報告用!$E$42:$E$69,"",FALSE))</f>
        <v/>
      </c>
    </row>
    <row r="52" spans="1:17" ht="27" customHeight="1">
      <c r="A52" s="213"/>
      <c r="B52" s="46" t="str">
        <f>_xlfn.XLOOKUP(ROW(B52)-ROW(B$44),報告用!$AC$44:$AC$87,報告用!F$44:F$87,"",FALSE)</f>
        <v/>
      </c>
      <c r="C52" s="54" t="str">
        <f>_xlfn.XLOOKUP(ROW(C52)-ROW(C$44),報告用!$AC$44:$AC$87,報告用!G$44:G$87,"",FALSE)</f>
        <v/>
      </c>
      <c r="D52" s="10" t="str">
        <f t="shared" si="8"/>
        <v/>
      </c>
      <c r="E52" s="47" t="str">
        <f>IF(_xlfn.XLOOKUP(ROW(E52)-ROW(E$44),報告用!$AC$44:$AC$87,報告用!E$44:E$87,"",FALSE)=B52,"",_xlfn.XLOOKUP(ROW(E52)-ROW(E$44),報告用!$AC$44:$AC$87,報告用!E$44:E$87,"",FALSE))</f>
        <v/>
      </c>
      <c r="F52" s="2"/>
      <c r="G52" s="213"/>
      <c r="H52" s="9" t="str">
        <f>_xlfn.XLOOKUP(ROW(H52)-ROW(H$48),報告用!$AI$42:$AI$69,報告用!$F$42:$F$69,"",FALSE)</f>
        <v/>
      </c>
      <c r="I52" s="25" t="str">
        <f>_xlfn.XLOOKUP(ROW(I52)-ROW(I$48),報告用!$AI$42:$AI$69,報告用!$G$42:$G$69,"",FALSE)</f>
        <v/>
      </c>
      <c r="J52" s="10" t="str">
        <f t="shared" si="6"/>
        <v/>
      </c>
      <c r="K52" s="11" t="str">
        <f>IF(_xlfn.XLOOKUP(ROW(K52)-ROW(K$48),報告用!$AI$42:$AI$69,報告用!$E$42:$E$69,"",FALSE)=H52,"",_xlfn.XLOOKUP(ROW(K52)-ROW(K$48),報告用!$AI$42:$AI$69,報告用!$E$42:$E$69,"",FALSE))</f>
        <v/>
      </c>
      <c r="L52" s="3"/>
      <c r="M52" s="213"/>
      <c r="N52" s="9" t="str">
        <f>_xlfn.XLOOKUP(ROW(N52)-ROW(N$48),報告用!$AJ$42:$AJ$69,報告用!$F$42:$F$69,"",FALSE)</f>
        <v/>
      </c>
      <c r="O52" s="25" t="str">
        <f>_xlfn.XLOOKUP(ROW(O52)-ROW(O$48),報告用!$AJ$42:$AJ$69,報告用!$G$42:$G$69,"",FALSE)</f>
        <v/>
      </c>
      <c r="P52" s="10" t="str">
        <f t="shared" si="7"/>
        <v/>
      </c>
      <c r="Q52" s="11" t="str">
        <f>IF(_xlfn.XLOOKUP(ROW(Q52)-ROW(Q$48),報告用!$AJ$42:$AJ$69,報告用!$E$42:$E$69,"",FALSE)=N52,"",_xlfn.XLOOKUP(ROW(Q52)-ROW(Q$48),報告用!$AJ$42:$AJ$69,報告用!$E$42:$E$69,"",FALSE))</f>
        <v/>
      </c>
    </row>
    <row r="53" spans="1:17" ht="27" customHeight="1">
      <c r="A53" s="213"/>
      <c r="B53" s="46" t="str">
        <f>_xlfn.XLOOKUP(ROW(B53)-ROW(B$44),報告用!$AC$44:$AC$87,報告用!F$44:F$87,"",FALSE)</f>
        <v/>
      </c>
      <c r="C53" s="54" t="str">
        <f>_xlfn.XLOOKUP(ROW(C53)-ROW(C$44),報告用!$AC$44:$AC$87,報告用!G$44:G$87,"",FALSE)</f>
        <v/>
      </c>
      <c r="D53" s="16" t="str">
        <f t="shared" si="8"/>
        <v/>
      </c>
      <c r="E53" s="47" t="str">
        <f>IF(_xlfn.XLOOKUP(ROW(E53)-ROW(E$44),報告用!$AC$44:$AC$87,報告用!E$44:E$87,"",FALSE)=B53,"",_xlfn.XLOOKUP(ROW(E53)-ROW(E$44),報告用!$AC$44:$AC$87,報告用!E$44:E$87,"",FALSE))</f>
        <v/>
      </c>
      <c r="F53" s="2"/>
      <c r="G53" s="213"/>
      <c r="H53" s="9" t="str">
        <f>_xlfn.XLOOKUP(ROW(H53)-ROW(H$48),報告用!$AI$42:$AI$69,報告用!$F$42:$F$69,"",FALSE)</f>
        <v/>
      </c>
      <c r="I53" s="25" t="str">
        <f>_xlfn.XLOOKUP(ROW(I53)-ROW(I$48),報告用!$AI$42:$AI$69,報告用!$G$42:$G$69,"",FALSE)</f>
        <v/>
      </c>
      <c r="J53" s="10" t="str">
        <f t="shared" si="6"/>
        <v/>
      </c>
      <c r="K53" s="11" t="str">
        <f>IF(_xlfn.XLOOKUP(ROW(K53)-ROW(K$48),報告用!$AI$42:$AI$69,報告用!$E$42:$E$69,"",FALSE)=H53,"",_xlfn.XLOOKUP(ROW(K53)-ROW(K$48),報告用!$AI$42:$AI$69,報告用!$E$42:$E$69,"",FALSE))</f>
        <v/>
      </c>
      <c r="L53" s="3"/>
      <c r="M53" s="213"/>
      <c r="N53" s="9" t="str">
        <f>_xlfn.XLOOKUP(ROW(N53)-ROW(N$48),報告用!$AJ$42:$AJ$69,報告用!$F$42:$F$69,"",FALSE)</f>
        <v/>
      </c>
      <c r="O53" s="25" t="str">
        <f>_xlfn.XLOOKUP(ROW(O53)-ROW(O$48),報告用!$AJ$42:$AJ$69,報告用!$G$42:$G$69,"",FALSE)</f>
        <v/>
      </c>
      <c r="P53" s="10" t="str">
        <f t="shared" si="7"/>
        <v/>
      </c>
      <c r="Q53" s="11" t="str">
        <f>IF(_xlfn.XLOOKUP(ROW(Q53)-ROW(Q$48),報告用!$AJ$42:$AJ$69,報告用!$E$42:$E$69,"",FALSE)=N53,"",_xlfn.XLOOKUP(ROW(Q53)-ROW(Q$48),報告用!$AJ$42:$AJ$69,報告用!$E$42:$E$69,"",FALSE))</f>
        <v/>
      </c>
    </row>
    <row r="54" spans="1:17" ht="27" customHeight="1" thickBot="1">
      <c r="A54" s="214"/>
      <c r="B54" s="52" t="str">
        <f>_xlfn.XLOOKUP(ROW(B54)-ROW(B$44),報告用!$AC$44:$AC$87,報告用!F$44:F$87,"",FALSE)</f>
        <v/>
      </c>
      <c r="C54" s="51" t="str">
        <f>_xlfn.XLOOKUP(ROW(C54)-ROW(C$44),報告用!$AC$44:$AC$87,報告用!G$44:G$87,"",FALSE)</f>
        <v/>
      </c>
      <c r="D54" s="13" t="str">
        <f t="shared" si="8"/>
        <v/>
      </c>
      <c r="E54" s="53" t="str">
        <f>IF(_xlfn.XLOOKUP(ROW(E54)-ROW(E$44),報告用!$AC$44:$AC$87,報告用!E$44:E$87,"",FALSE)=B54,"",_xlfn.XLOOKUP(ROW(E54)-ROW(E$44),報告用!$AC$44:$AC$87,報告用!E$44:E$87,"",FALSE))</f>
        <v/>
      </c>
      <c r="F54" s="2"/>
      <c r="G54" s="213"/>
      <c r="H54" s="9">
        <f>_xlfn.XLOOKUP(ROW(H54)-ROW(H$48),報告用!$AI$42:$AI$69,報告用!$F$42:$F$69,"",FALSE)</f>
        <v>5</v>
      </c>
      <c r="I54" s="25" t="str">
        <f>_xlfn.XLOOKUP(ROW(I54)-ROW(I$48),報告用!$AI$42:$AI$69,報告用!$G$42:$G$69,"",FALSE)</f>
        <v>高田 保英</v>
      </c>
      <c r="J54" s="10" t="str">
        <f t="shared" si="6"/>
        <v>様</v>
      </c>
      <c r="K54" s="11">
        <f>IF(_xlfn.XLOOKUP(ROW(K54)-ROW(K$48),報告用!$AI$42:$AI$69,報告用!$E$42:$E$69,"",FALSE)=H54,"",_xlfn.XLOOKUP(ROW(K54)-ROW(K$48),報告用!$AI$42:$AI$69,報告用!$E$42:$E$69,"",FALSE))</f>
        <v>25</v>
      </c>
      <c r="L54" s="3"/>
      <c r="M54" s="213"/>
      <c r="N54" s="9">
        <f>_xlfn.XLOOKUP(ROW(N54)-ROW(N$48),報告用!$AJ$42:$AJ$69,報告用!$F$42:$F$69,"",FALSE)</f>
        <v>5</v>
      </c>
      <c r="O54" s="25" t="str">
        <f>_xlfn.XLOOKUP(ROW(O54)-ROW(O$48),報告用!$AJ$42:$AJ$69,報告用!$G$42:$G$69,"",FALSE)</f>
        <v>高田 保英</v>
      </c>
      <c r="P54" s="10" t="str">
        <f t="shared" si="7"/>
        <v>様</v>
      </c>
      <c r="Q54" s="11">
        <f>IF(_xlfn.XLOOKUP(ROW(Q54)-ROW(Q$48),報告用!$AJ$42:$AJ$69,報告用!$E$42:$E$69,"",FALSE)=N54,"",_xlfn.XLOOKUP(ROW(Q54)-ROW(Q$48),報告用!$AJ$42:$AJ$69,報告用!$E$42:$E$69,"",FALSE))</f>
        <v>25</v>
      </c>
    </row>
    <row r="55" spans="1:17" ht="27" customHeight="1" thickTop="1">
      <c r="A55" s="218" t="s">
        <v>37</v>
      </c>
      <c r="B55" s="70">
        <f>_xlfn.XLOOKUP(ROW(B55)-ROW(B$54),報告用!$AD$44:$AD$87,報告用!F$44:F$87,"",FALSE)</f>
        <v>25</v>
      </c>
      <c r="C55" s="70" t="str">
        <f>_xlfn.XLOOKUP(ROW(C55)-ROW(C$54),報告用!$AD$44:$AD$87,報告用!G$44:G$87,"",FALSE)</f>
        <v>千野　周恵</v>
      </c>
      <c r="D55" s="16" t="str">
        <f t="shared" si="8"/>
        <v>様</v>
      </c>
      <c r="E55" s="55" t="str">
        <f>IF(_xlfn.XLOOKUP(ROW(E55)-ROW(E$54),報告用!$AD$44:$AD$87,報告用!E$44:E$87,"",FALSE)=B55,"",_xlfn.XLOOKUP(ROW(E55)-ROW(E$54),報告用!$AD$44:$AD$87,報告用!E$44:E$87,"",FALSE))</f>
        <v/>
      </c>
      <c r="F55" s="2"/>
      <c r="G55" s="213"/>
      <c r="H55" s="9" t="str">
        <f>_xlfn.XLOOKUP(ROW(H55)-ROW(H$48),報告用!$AI$42:$AI$69,報告用!$F$42:$F$69,"",FALSE)</f>
        <v/>
      </c>
      <c r="I55" s="25" t="str">
        <f>_xlfn.XLOOKUP(ROW(I55)-ROW(I$48),報告用!$AI$42:$AI$69,報告用!$G$42:$G$69,"",FALSE)</f>
        <v/>
      </c>
      <c r="J55" s="10" t="str">
        <f t="shared" si="6"/>
        <v/>
      </c>
      <c r="K55" s="11" t="str">
        <f>IF(_xlfn.XLOOKUP(ROW(K55)-ROW(K$48),報告用!$AI$42:$AI$69,報告用!$E$42:$E$69,"",FALSE)=H55,"",_xlfn.XLOOKUP(ROW(K55)-ROW(K$48),報告用!$AI$42:$AI$69,報告用!$E$42:$E$69,"",FALSE))</f>
        <v/>
      </c>
      <c r="L55" s="3"/>
      <c r="M55" s="213"/>
      <c r="N55" s="9" t="str">
        <f>_xlfn.XLOOKUP(ROW(N55)-ROW(N$48),報告用!$AJ$42:$AJ$69,報告用!$F$42:$F$69,"",FALSE)</f>
        <v/>
      </c>
      <c r="O55" s="25" t="str">
        <f>_xlfn.XLOOKUP(ROW(O55)-ROW(O$48),報告用!$AJ$42:$AJ$69,報告用!$G$42:$G$69,"",FALSE)</f>
        <v/>
      </c>
      <c r="P55" s="10" t="str">
        <f t="shared" si="7"/>
        <v/>
      </c>
      <c r="Q55" s="11" t="str">
        <f>IF(_xlfn.XLOOKUP(ROW(Q55)-ROW(Q$48),報告用!$AJ$42:$AJ$69,報告用!$E$42:$E$69,"",FALSE)=N55,"",_xlfn.XLOOKUP(ROW(Q55)-ROW(Q$48),報告用!$AJ$42:$AJ$69,報告用!$E$42:$E$69,"",FALSE))</f>
        <v/>
      </c>
    </row>
    <row r="56" spans="1:17" ht="27" customHeight="1">
      <c r="A56" s="218"/>
      <c r="B56" s="70">
        <f>_xlfn.XLOOKUP(ROW(B56)-ROW(B$54),報告用!$AD$44:$AD$87,報告用!F$44:F$87,"",FALSE)</f>
        <v>2</v>
      </c>
      <c r="C56" s="70" t="str">
        <f>_xlfn.XLOOKUP(ROW(C56)-ROW(C$54),報告用!$AD$44:$AD$87,報告用!G$44:G$87,"",FALSE)</f>
        <v>小林　登志子</v>
      </c>
      <c r="D56" s="10" t="str">
        <f t="shared" si="8"/>
        <v>様</v>
      </c>
      <c r="E56" s="47" t="str">
        <f>IF(_xlfn.XLOOKUP(ROW(E56)-ROW(E$54),報告用!$AD$44:$AD$87,報告用!E$44:E$87,"",FALSE)=B56,"",_xlfn.XLOOKUP(ROW(E56)-ROW(E$54),報告用!$AD$44:$AD$87,報告用!E$44:E$87,"",FALSE))</f>
        <v/>
      </c>
      <c r="F56" s="2"/>
      <c r="G56" s="213"/>
      <c r="H56" s="9" t="str">
        <f>_xlfn.XLOOKUP(ROW(H56)-ROW(H$48),報告用!$AI$42:$AI$69,報告用!$F$42:$F$69,"",FALSE)</f>
        <v/>
      </c>
      <c r="I56" s="25" t="str">
        <f>_xlfn.XLOOKUP(ROW(I56)-ROW(I$48),報告用!$AI$42:$AI$69,報告用!$G$42:$G$69,"",FALSE)</f>
        <v/>
      </c>
      <c r="J56" s="10" t="str">
        <f t="shared" si="6"/>
        <v/>
      </c>
      <c r="K56" s="11" t="str">
        <f>IF(_xlfn.XLOOKUP(ROW(K56)-ROW(K$48),報告用!$AI$42:$AI$69,報告用!$E$42:$E$69,"",FALSE)=H56,"",_xlfn.XLOOKUP(ROW(K56)-ROW(K$48),報告用!$AI$42:$AI$69,報告用!$E$42:$E$69,"",FALSE))</f>
        <v/>
      </c>
      <c r="L56" s="3"/>
      <c r="M56" s="213"/>
      <c r="N56" s="9" t="str">
        <f>_xlfn.XLOOKUP(ROW(N56)-ROW(N$48),報告用!$AJ$42:$AJ$69,報告用!$F$42:$F$69,"",FALSE)</f>
        <v/>
      </c>
      <c r="O56" s="25" t="str">
        <f>_xlfn.XLOOKUP(ROW(O56)-ROW(O$48),報告用!$AJ$42:$AJ$69,報告用!$G$42:$G$69,"",FALSE)</f>
        <v/>
      </c>
      <c r="P56" s="10" t="str">
        <f t="shared" si="7"/>
        <v/>
      </c>
      <c r="Q56" s="11" t="str">
        <f>IF(_xlfn.XLOOKUP(ROW(Q56)-ROW(Q$48),報告用!$AJ$42:$AJ$69,報告用!$E$42:$E$69,"",FALSE)=N56,"",_xlfn.XLOOKUP(ROW(Q56)-ROW(Q$48),報告用!$AJ$42:$AJ$69,報告用!$E$42:$E$69,"",FALSE))</f>
        <v/>
      </c>
    </row>
    <row r="57" spans="1:17" ht="27" customHeight="1">
      <c r="A57" s="218"/>
      <c r="B57" s="70" t="str">
        <f>_xlfn.XLOOKUP(ROW(B57)-ROW(B$54),報告用!$AD$44:$AD$87,報告用!F$44:F$87,"",FALSE)</f>
        <v/>
      </c>
      <c r="C57" s="70" t="str">
        <f>_xlfn.XLOOKUP(ROW(C57)-ROW(C$54),報告用!$AD$44:$AD$87,報告用!G$44:G$87,"",FALSE)</f>
        <v/>
      </c>
      <c r="D57" s="60" t="str">
        <f t="shared" si="8"/>
        <v/>
      </c>
      <c r="E57" s="47" t="str">
        <f>IF(_xlfn.XLOOKUP(ROW(E57)-ROW(E$54),報告用!$AD$44:$AD$87,報告用!E$44:E$87,"",FALSE)=B57,"",_xlfn.XLOOKUP(ROW(E57)-ROW(E$54),報告用!$AD$44:$AD$87,報告用!E$44:E$87,"",FALSE))</f>
        <v/>
      </c>
      <c r="F57" s="2"/>
      <c r="G57" s="213"/>
      <c r="H57" s="9" t="str">
        <f>_xlfn.XLOOKUP(ROW(H57)-ROW(H$48),報告用!$AI$42:$AI$69,報告用!$F$42:$F$69,"",FALSE)</f>
        <v/>
      </c>
      <c r="I57" s="25" t="str">
        <f>_xlfn.XLOOKUP(ROW(I57)-ROW(I$48),報告用!$AI$42:$AI$69,報告用!$G$42:$G$69,"",FALSE)</f>
        <v/>
      </c>
      <c r="J57" s="10" t="str">
        <f t="shared" si="6"/>
        <v/>
      </c>
      <c r="K57" s="11" t="str">
        <f>IF(_xlfn.XLOOKUP(ROW(K57)-ROW(K$48),報告用!$AI$42:$AI$69,報告用!$E$42:$E$69,"",FALSE)=H57,"",_xlfn.XLOOKUP(ROW(K57)-ROW(K$48),報告用!$AI$42:$AI$69,報告用!$E$42:$E$69,"",FALSE))</f>
        <v/>
      </c>
      <c r="L57" s="3"/>
      <c r="M57" s="213"/>
      <c r="N57" s="9" t="str">
        <f>_xlfn.XLOOKUP(ROW(N57)-ROW(N$48),報告用!$AJ$42:$AJ$69,報告用!$F$42:$F$69,"",FALSE)</f>
        <v/>
      </c>
      <c r="O57" s="25" t="str">
        <f>_xlfn.XLOOKUP(ROW(O57)-ROW(O$48),報告用!$AJ$42:$AJ$69,報告用!$G$42:$G$69,"",FALSE)</f>
        <v/>
      </c>
      <c r="P57" s="10" t="str">
        <f t="shared" si="7"/>
        <v/>
      </c>
      <c r="Q57" s="11" t="str">
        <f>IF(_xlfn.XLOOKUP(ROW(Q57)-ROW(Q$48),報告用!$AJ$42:$AJ$69,報告用!$E$42:$E$69,"",FALSE)=N57,"",_xlfn.XLOOKUP(ROW(Q57)-ROW(Q$48),報告用!$AJ$42:$AJ$69,報告用!$E$42:$E$69,"",FALSE))</f>
        <v/>
      </c>
    </row>
    <row r="58" spans="1:17" ht="27" customHeight="1">
      <c r="A58" s="218"/>
      <c r="B58" s="46" t="str">
        <f>_xlfn.XLOOKUP(ROW(B58)-ROW(B$54),報告用!$AD$44:$AD$87,報告用!F$44:F$87,"",FALSE)</f>
        <v/>
      </c>
      <c r="C58" s="54" t="str">
        <f>_xlfn.XLOOKUP(ROW(C58)-ROW(C$54),報告用!$AD$44:$AD$87,報告用!G$44:G$87,"",FALSE)</f>
        <v/>
      </c>
      <c r="D58" s="65" t="str">
        <f t="shared" si="8"/>
        <v/>
      </c>
      <c r="E58" s="47" t="str">
        <f>IF(_xlfn.XLOOKUP(ROW(E58)-ROW(E$54),報告用!$AD$44:$AD$87,報告用!E$44:E$87,"",FALSE)=B58,"",_xlfn.XLOOKUP(ROW(E58)-ROW(E$54),報告用!$AD$44:$AD$87,報告用!E$44:E$87,"",FALSE))</f>
        <v/>
      </c>
      <c r="F58" s="2"/>
      <c r="G58" s="213"/>
      <c r="H58" s="9" t="str">
        <f>_xlfn.XLOOKUP(ROW(H58)-ROW(H$48),報告用!$AI$42:$AI$69,報告用!$F$42:$F$69,"",FALSE)</f>
        <v/>
      </c>
      <c r="I58" s="25" t="str">
        <f>_xlfn.XLOOKUP(ROW(I58)-ROW(I$48),報告用!$AI$42:$AI$69,報告用!$G$42:$G$69,"",FALSE)</f>
        <v/>
      </c>
      <c r="J58" s="10" t="str">
        <f t="shared" si="6"/>
        <v/>
      </c>
      <c r="K58" s="11" t="str">
        <f>IF(_xlfn.XLOOKUP(ROW(K58)-ROW(K$48),報告用!$AI$42:$AI$69,報告用!$E$42:$E$69,"",FALSE)=H58,"",_xlfn.XLOOKUP(ROW(K58)-ROW(K$48),報告用!$AI$42:$AI$69,報告用!$E$42:$E$69,"",FALSE))</f>
        <v/>
      </c>
      <c r="L58" s="3"/>
      <c r="M58" s="213"/>
      <c r="N58" s="9" t="str">
        <f>_xlfn.XLOOKUP(ROW(N58)-ROW(N$48),報告用!$AJ$42:$AJ$69,報告用!$F$42:$F$69,"",FALSE)</f>
        <v/>
      </c>
      <c r="O58" s="25" t="str">
        <f>_xlfn.XLOOKUP(ROW(O58)-ROW(O$48),報告用!$AJ$42:$AJ$69,報告用!$G$42:$G$69,"",FALSE)</f>
        <v/>
      </c>
      <c r="P58" s="10" t="str">
        <f t="shared" si="7"/>
        <v/>
      </c>
      <c r="Q58" s="11" t="str">
        <f>IF(_xlfn.XLOOKUP(ROW(Q58)-ROW(Q$48),報告用!$AJ$42:$AJ$69,報告用!$E$42:$E$69,"",FALSE)=N58,"",_xlfn.XLOOKUP(ROW(Q58)-ROW(Q$48),報告用!$AJ$42:$AJ$69,報告用!$E$42:$E$69,"",FALSE))</f>
        <v/>
      </c>
    </row>
    <row r="59" spans="1:17" ht="27" customHeight="1">
      <c r="A59" s="218"/>
      <c r="B59" s="46" t="str">
        <f>_xlfn.XLOOKUP(ROW(B59)-ROW(B$54),報告用!$AD$44:$AD$87,報告用!F$44:F$87,"",FALSE)</f>
        <v/>
      </c>
      <c r="C59" s="54" t="str">
        <f>_xlfn.XLOOKUP(ROW(C59)-ROW(C$54),報告用!$AD$44:$AD$87,報告用!G$44:G$87,"",FALSE)</f>
        <v/>
      </c>
      <c r="D59" s="65" t="str">
        <f t="shared" si="8"/>
        <v/>
      </c>
      <c r="E59" s="47" t="str">
        <f>IF(_xlfn.XLOOKUP(ROW(E59)-ROW(E$54),報告用!$AD$44:$AD$87,報告用!E$44:E$87,"",FALSE)=B59,"",_xlfn.XLOOKUP(ROW(E59)-ROW(E$54),報告用!$AD$44:$AD$87,報告用!E$44:E$87,"",FALSE))</f>
        <v/>
      </c>
      <c r="F59" s="2"/>
      <c r="G59" s="213"/>
      <c r="H59" s="9" t="str">
        <f>_xlfn.XLOOKUP(ROW(H59)-ROW(H$48),報告用!$AI$42:$AI$69,報告用!$F$42:$F$69,"",FALSE)</f>
        <v/>
      </c>
      <c r="I59" s="25" t="str">
        <f>_xlfn.XLOOKUP(ROW(I59)-ROW(I$48),報告用!$AI$42:$AI$69,報告用!$G$42:$G$69,"",FALSE)</f>
        <v/>
      </c>
      <c r="J59" s="10" t="str">
        <f t="shared" si="6"/>
        <v/>
      </c>
      <c r="K59" s="11" t="str">
        <f>IF(_xlfn.XLOOKUP(ROW(K59)-ROW(K$48),報告用!$AI$42:$AI$69,報告用!$E$42:$E$69,"",FALSE)=H59,"",_xlfn.XLOOKUP(ROW(K59)-ROW(K$48),報告用!$AI$42:$AI$69,報告用!$E$42:$E$69,"",FALSE))</f>
        <v/>
      </c>
      <c r="L59" s="3"/>
      <c r="M59" s="213"/>
      <c r="N59" s="9" t="str">
        <f>_xlfn.XLOOKUP(ROW(N59)-ROW(N$48),報告用!$AJ$42:$AJ$69,報告用!$F$42:$F$69,"",FALSE)</f>
        <v/>
      </c>
      <c r="O59" s="25" t="str">
        <f>_xlfn.XLOOKUP(ROW(O59)-ROW(O$48),報告用!$AJ$42:$AJ$69,報告用!$G$42:$G$69,"",FALSE)</f>
        <v/>
      </c>
      <c r="P59" s="10" t="str">
        <f t="shared" si="7"/>
        <v/>
      </c>
      <c r="Q59" s="11" t="str">
        <f>IF(_xlfn.XLOOKUP(ROW(Q59)-ROW(Q$48),報告用!$AJ$42:$AJ$69,報告用!$E$42:$E$69,"",FALSE)=N59,"",_xlfn.XLOOKUP(ROW(Q59)-ROW(Q$48),報告用!$AJ$42:$AJ$69,報告用!$E$42:$E$69,"",FALSE))</f>
        <v/>
      </c>
    </row>
    <row r="60" spans="1:17" ht="27" customHeight="1" thickBot="1">
      <c r="A60" s="219"/>
      <c r="B60" s="56" t="str">
        <f>_xlfn.XLOOKUP(ROW(B60)-ROW(B$54),報告用!$AD$44:$AD$87,報告用!F$44:F$87,"",FALSE)</f>
        <v/>
      </c>
      <c r="C60" s="64" t="str">
        <f>_xlfn.XLOOKUP(ROW(C60)-ROW(C$54),報告用!$AD$44:$AD$87,報告用!G$44:G$87,"",FALSE)</f>
        <v/>
      </c>
      <c r="D60" s="66" t="str">
        <f t="shared" si="8"/>
        <v/>
      </c>
      <c r="E60" s="57" t="str">
        <f>IF(_xlfn.XLOOKUP(ROW(E60)-ROW(E$54),報告用!$AD$44:$AD$87,報告用!E$44:E$87,"",FALSE)=B60,"",_xlfn.XLOOKUP(ROW(E60)-ROW(E$54),報告用!$AD$44:$AD$87,報告用!E$44:E$87,"",FALSE))</f>
        <v/>
      </c>
      <c r="F60" s="2"/>
      <c r="G60" s="217"/>
      <c r="H60" s="18" t="str">
        <f>_xlfn.XLOOKUP(ROW(H60)-ROW(H$48),報告用!$AI$42:$AI$69,報告用!$F$42:$F$69,"",FALSE)</f>
        <v/>
      </c>
      <c r="I60" s="28" t="str">
        <f>_xlfn.XLOOKUP(ROW(I60)-ROW(I$48),報告用!$AI$42:$AI$69,報告用!$G$42:$G$69,"",FALSE)</f>
        <v/>
      </c>
      <c r="J60" s="19" t="str">
        <f t="shared" si="6"/>
        <v/>
      </c>
      <c r="K60" s="20" t="str">
        <f>IF(_xlfn.XLOOKUP(ROW(K60)-ROW(K$48),報告用!$AI$42:$AI$69,報告用!$E$42:$E$69,"",FALSE)=H60,"",_xlfn.XLOOKUP(ROW(K60)-ROW(K$48),報告用!$AI$42:$AI$69,報告用!$E$42:$E$69,"",FALSE))</f>
        <v/>
      </c>
      <c r="L60" s="3"/>
      <c r="M60" s="217"/>
      <c r="N60" s="18" t="str">
        <f>_xlfn.XLOOKUP(ROW(N60)-ROW(N$48),報告用!$AJ$42:$AJ$69,報告用!$F$42:$F$69,"",FALSE)</f>
        <v/>
      </c>
      <c r="O60" s="28" t="str">
        <f>_xlfn.XLOOKUP(ROW(O60)-ROW(O$48),報告用!$AJ$42:$AJ$69,報告用!$G$42:$G$69,"",FALSE)</f>
        <v/>
      </c>
      <c r="P60" s="19" t="str">
        <f t="shared" si="7"/>
        <v/>
      </c>
      <c r="Q60" s="20" t="str">
        <f>IF(_xlfn.XLOOKUP(ROW(Q60)-ROW(Q$48),報告用!$AJ$42:$AJ$69,報告用!$E$42:$E$69,"",FALSE)=N60,"",_xlfn.XLOOKUP(ROW(Q60)-ROW(Q$48),報告用!$AJ$42:$AJ$69,報告用!$E$42:$E$69,"",FALSE))</f>
        <v/>
      </c>
    </row>
    <row r="61" spans="1:17" ht="27" customHeight="1">
      <c r="A61" s="23"/>
      <c r="B61" s="23"/>
      <c r="C61" s="23"/>
      <c r="D61" s="23"/>
      <c r="E61" s="23"/>
      <c r="F61" s="23"/>
      <c r="G61" s="202" t="s">
        <v>41</v>
      </c>
      <c r="H61" s="202"/>
      <c r="I61" s="202"/>
      <c r="J61" s="202"/>
      <c r="K61" s="202"/>
      <c r="L61" s="23"/>
      <c r="M61" s="23"/>
      <c r="N61" s="23"/>
      <c r="O61" s="23"/>
      <c r="P61" s="23"/>
      <c r="Q61" s="23"/>
    </row>
    <row r="62" spans="1:17" ht="27" customHeight="1" thickBot="1">
      <c r="A62" s="204"/>
      <c r="B62" s="204"/>
      <c r="C62" s="204"/>
      <c r="D62" s="204"/>
      <c r="E62" s="204"/>
      <c r="F62" s="23"/>
      <c r="G62" s="203"/>
      <c r="H62" s="203"/>
      <c r="I62" s="203"/>
      <c r="J62" s="203"/>
      <c r="K62" s="203"/>
      <c r="L62" s="23"/>
      <c r="M62" s="205">
        <f>報告用!$O$2</f>
        <v>46106</v>
      </c>
      <c r="N62" s="205"/>
      <c r="O62" s="205"/>
      <c r="P62" s="205"/>
      <c r="Q62" s="205"/>
    </row>
    <row r="63" spans="1:17" ht="27" customHeight="1">
      <c r="A63" s="206" t="s">
        <v>31</v>
      </c>
      <c r="B63" s="208" t="s">
        <v>38</v>
      </c>
      <c r="C63" s="208"/>
      <c r="D63" s="208"/>
      <c r="E63" s="209"/>
      <c r="F63" s="2"/>
      <c r="G63" s="206" t="s">
        <v>31</v>
      </c>
      <c r="H63" s="208" t="s">
        <v>39</v>
      </c>
      <c r="I63" s="208"/>
      <c r="J63" s="208"/>
      <c r="K63" s="209"/>
      <c r="L63" s="3"/>
      <c r="M63" s="206" t="s">
        <v>31</v>
      </c>
      <c r="N63" s="208" t="s">
        <v>22</v>
      </c>
      <c r="O63" s="208"/>
      <c r="P63" s="208"/>
      <c r="Q63" s="209"/>
    </row>
    <row r="64" spans="1:17" ht="27" customHeight="1" thickBot="1">
      <c r="A64" s="207"/>
      <c r="B64" s="4" t="s">
        <v>18</v>
      </c>
      <c r="C64" s="210" t="s">
        <v>17</v>
      </c>
      <c r="D64" s="211"/>
      <c r="E64" s="5" t="s">
        <v>30</v>
      </c>
      <c r="F64" s="2"/>
      <c r="G64" s="207"/>
      <c r="H64" s="4" t="s">
        <v>18</v>
      </c>
      <c r="I64" s="210" t="s">
        <v>17</v>
      </c>
      <c r="J64" s="211"/>
      <c r="K64" s="5" t="s">
        <v>30</v>
      </c>
      <c r="L64" s="3"/>
      <c r="M64" s="207"/>
      <c r="N64" s="4" t="s">
        <v>18</v>
      </c>
      <c r="O64" s="210" t="s">
        <v>17</v>
      </c>
      <c r="P64" s="211"/>
      <c r="Q64" s="5" t="s">
        <v>30</v>
      </c>
    </row>
    <row r="65" spans="1:17" ht="27" customHeight="1" thickTop="1">
      <c r="A65" s="215" t="s">
        <v>35</v>
      </c>
      <c r="B65" s="6" t="str">
        <f>_xlfn.XLOOKUP(ROW(B65)-ROW(B$64),報告用!$AF$42:$AF$69,報告用!$F$42:$F$69,"",FALSE)</f>
        <v/>
      </c>
      <c r="C65" s="24" t="str">
        <f>_xlfn.XLOOKUP(ROW(C65)-ROW(C$64),報告用!$AF$42:$AF$69,報告用!$G$42:$G$69,"",FALSE)</f>
        <v/>
      </c>
      <c r="D65" s="7" t="str">
        <f t="shared" ref="D65:D80" si="9">IF(C65="","","様")</f>
        <v/>
      </c>
      <c r="E65" s="8" t="str">
        <f>IF(_xlfn.XLOOKUP(ROW(E65)-ROW(E$64),報告用!$AF$42:$AF$69,報告用!$E$42:$E$69,"",FALSE)=B65,"",_xlfn.XLOOKUP(ROW(E65)-ROW(E$64),報告用!$AF$42:$AF$69,報告用!$E$42:$E$69,"",FALSE))</f>
        <v/>
      </c>
      <c r="F65" s="2"/>
      <c r="G65" s="215" t="s">
        <v>35</v>
      </c>
      <c r="H65" s="6" t="str">
        <f>_xlfn.XLOOKUP(ROW(H65)-ROW(H$64),報告用!$AG$42:$AG$69,報告用!$F$42:$F$69,"",FALSE)</f>
        <v/>
      </c>
      <c r="I65" s="24" t="str">
        <f>_xlfn.XLOOKUP(ROW(I65)-ROW(I$64),報告用!$AG$42:$AG$69,報告用!$G$42:$G$69,"",FALSE)</f>
        <v/>
      </c>
      <c r="J65" s="7" t="str">
        <f t="shared" ref="J65:J80" si="10">IF(I65="","","様")</f>
        <v/>
      </c>
      <c r="K65" s="8" t="str">
        <f>IF(_xlfn.XLOOKUP(ROW(K65)-ROW(K$64),報告用!$AG$42:$AG$69,報告用!$E$42:$E$69,"",FALSE)=H65,"",_xlfn.XLOOKUP(ROW(K65)-ROW(K$64),報告用!$AG$42:$AG$69,報告用!$E$42:$E$69,"",FALSE))</f>
        <v/>
      </c>
      <c r="L65" s="3"/>
      <c r="M65" s="215" t="s">
        <v>35</v>
      </c>
      <c r="N65" s="6" t="str">
        <f>_xlfn.XLOOKUP(ROW(N65)-ROW(N$64),報告用!$AH$42:$AH$69,報告用!$F$42:$F$69,"",FALSE)</f>
        <v/>
      </c>
      <c r="O65" s="24" t="str">
        <f>_xlfn.XLOOKUP(ROW(O65)-ROW(O$64),報告用!$AH$42:$AH$69,報告用!$G$42:$G$69,"",FALSE)</f>
        <v/>
      </c>
      <c r="P65" s="7" t="str">
        <f t="shared" ref="P65:P80" si="11">IF(O65="","","様")</f>
        <v/>
      </c>
      <c r="Q65" s="8" t="str">
        <f>IF(_xlfn.XLOOKUP(ROW(Q65)-ROW(Q$64),報告用!$AH$42:$AH$69,報告用!$E$42:$E$69,"",FALSE)=N65,"",_xlfn.XLOOKUP(ROW(Q65)-ROW(Q$64),報告用!$AH$42:$AH$69,報告用!$E$42:$E$69,"",FALSE))</f>
        <v/>
      </c>
    </row>
    <row r="66" spans="1:17" ht="27" customHeight="1">
      <c r="A66" s="216"/>
      <c r="B66" s="9">
        <f>_xlfn.XLOOKUP(ROW(B66)-ROW(B$64),報告用!$AF$42:$AF$69,報告用!$F$42:$F$69,"",FALSE)</f>
        <v>23</v>
      </c>
      <c r="C66" s="25" t="str">
        <f>_xlfn.XLOOKUP(ROW(C66)-ROW(C$64),報告用!$AF$42:$AF$69,報告用!$G$42:$G$69,"",FALSE)</f>
        <v>森下計二</v>
      </c>
      <c r="D66" s="10" t="str">
        <f t="shared" si="9"/>
        <v>様</v>
      </c>
      <c r="E66" s="11" t="str">
        <f>IF(_xlfn.XLOOKUP(ROW(E66)-ROW(E$64),報告用!$AF$42:$AF$69,報告用!$E$42:$E$69,"",FALSE)=B66,"",_xlfn.XLOOKUP(ROW(E66)-ROW(E$64),報告用!$AF$42:$AF$69,報告用!$E$42:$E$69,"",FALSE))</f>
        <v/>
      </c>
      <c r="F66" s="2"/>
      <c r="G66" s="216"/>
      <c r="H66" s="9">
        <f>_xlfn.XLOOKUP(ROW(H66)-ROW(H$64),報告用!$AG$42:$AG$69,報告用!$F$42:$F$69,"",FALSE)</f>
        <v>23</v>
      </c>
      <c r="I66" s="25" t="str">
        <f>_xlfn.XLOOKUP(ROW(I66)-ROW(I$64),報告用!$AG$42:$AG$69,報告用!$G$42:$G$69,"",FALSE)</f>
        <v>森下計二</v>
      </c>
      <c r="J66" s="10" t="str">
        <f t="shared" si="10"/>
        <v>様</v>
      </c>
      <c r="K66" s="11" t="str">
        <f>IF(_xlfn.XLOOKUP(ROW(K66)-ROW(K$64),報告用!$AG$42:$AG$69,報告用!$E$42:$E$69,"",FALSE)=H66,"",_xlfn.XLOOKUP(ROW(K66)-ROW(K$64),報告用!$AG$42:$AG$69,報告用!$E$42:$E$69,"",FALSE))</f>
        <v/>
      </c>
      <c r="L66" s="3"/>
      <c r="M66" s="216"/>
      <c r="N66" s="9">
        <f>_xlfn.XLOOKUP(ROW(N66)-ROW(N$64),報告用!$AH$42:$AH$69,報告用!$F$42:$F$69,"",FALSE)</f>
        <v>23</v>
      </c>
      <c r="O66" s="25" t="str">
        <f>_xlfn.XLOOKUP(ROW(O66)-ROW(O$64),報告用!$AH$42:$AH$69,報告用!$G$42:$G$69,"",FALSE)</f>
        <v>森下計二</v>
      </c>
      <c r="P66" s="10" t="str">
        <f t="shared" si="11"/>
        <v>様</v>
      </c>
      <c r="Q66" s="11" t="str">
        <f>IF(_xlfn.XLOOKUP(ROW(Q66)-ROW(Q$64),報告用!$AH$42:$AH$69,報告用!$E$42:$E$69,"",FALSE)=N66,"",_xlfn.XLOOKUP(ROW(Q66)-ROW(Q$64),報告用!$AH$42:$AH$69,報告用!$E$42:$E$69,"",FALSE))</f>
        <v/>
      </c>
    </row>
    <row r="67" spans="1:17" ht="27" customHeight="1">
      <c r="A67" s="216"/>
      <c r="B67" s="9">
        <f>_xlfn.XLOOKUP(ROW(B67)-ROW(B$64),報告用!$AF$42:$AF$69,報告用!$F$42:$F$69,"",FALSE)</f>
        <v>25</v>
      </c>
      <c r="C67" s="25" t="str">
        <f>_xlfn.XLOOKUP(ROW(C67)-ROW(C$64),報告用!$AF$42:$AF$69,報告用!$G$42:$G$69,"",FALSE)</f>
        <v>鈴木　賢浄</v>
      </c>
      <c r="D67" s="10" t="str">
        <f t="shared" si="9"/>
        <v>様</v>
      </c>
      <c r="E67" s="11" t="str">
        <f>IF(_xlfn.XLOOKUP(ROW(E67)-ROW(E$64),報告用!$AF$42:$AF$69,報告用!$E$42:$E$69,"",FALSE)=B67,"",_xlfn.XLOOKUP(ROW(E67)-ROW(E$64),報告用!$AF$42:$AF$69,報告用!$E$42:$E$69,"",FALSE))</f>
        <v/>
      </c>
      <c r="F67" s="2"/>
      <c r="G67" s="216"/>
      <c r="H67" s="9">
        <f>_xlfn.XLOOKUP(ROW(H67)-ROW(H$64),報告用!$AG$42:$AG$69,報告用!$F$42:$F$69,"",FALSE)</f>
        <v>25</v>
      </c>
      <c r="I67" s="25" t="str">
        <f>_xlfn.XLOOKUP(ROW(I67)-ROW(I$64),報告用!$AG$42:$AG$69,報告用!$G$42:$G$69,"",FALSE)</f>
        <v>鈴木　賢浄</v>
      </c>
      <c r="J67" s="10" t="str">
        <f t="shared" si="10"/>
        <v>様</v>
      </c>
      <c r="K67" s="11" t="str">
        <f>IF(_xlfn.XLOOKUP(ROW(K67)-ROW(K$64),報告用!$AG$42:$AG$69,報告用!$E$42:$E$69,"",FALSE)=H67,"",_xlfn.XLOOKUP(ROW(K67)-ROW(K$64),報告用!$AG$42:$AG$69,報告用!$E$42:$E$69,"",FALSE))</f>
        <v/>
      </c>
      <c r="L67" s="3"/>
      <c r="M67" s="216"/>
      <c r="N67" s="9">
        <f>_xlfn.XLOOKUP(ROW(N67)-ROW(N$64),報告用!$AH$42:$AH$69,報告用!$F$42:$F$69,"",FALSE)</f>
        <v>25</v>
      </c>
      <c r="O67" s="25" t="str">
        <f>_xlfn.XLOOKUP(ROW(O67)-ROW(O$64),報告用!$AH$42:$AH$69,報告用!$G$42:$G$69,"",FALSE)</f>
        <v>鈴木　賢浄</v>
      </c>
      <c r="P67" s="10" t="str">
        <f t="shared" si="11"/>
        <v>様</v>
      </c>
      <c r="Q67" s="11" t="str">
        <f>IF(_xlfn.XLOOKUP(ROW(Q67)-ROW(Q$64),報告用!$AH$42:$AH$69,報告用!$E$42:$E$69,"",FALSE)=N67,"",_xlfn.XLOOKUP(ROW(Q67)-ROW(Q$64),報告用!$AH$42:$AH$69,報告用!$E$42:$E$69,"",FALSE))</f>
        <v/>
      </c>
    </row>
    <row r="68" spans="1:17" ht="27" customHeight="1" thickBot="1">
      <c r="A68" s="207"/>
      <c r="B68" s="12" t="str">
        <f>_xlfn.XLOOKUP(ROW(B68)-ROW(B$64),報告用!$AF$42:$AF$69,報告用!$F$42:$F$69,"",FALSE)</f>
        <v/>
      </c>
      <c r="C68" s="26" t="str">
        <f>_xlfn.XLOOKUP(ROW(C68)-ROW(C$64),報告用!$AF$42:$AF$69,報告用!$G$42:$G$69,"",FALSE)</f>
        <v/>
      </c>
      <c r="D68" s="13" t="str">
        <f t="shared" si="9"/>
        <v/>
      </c>
      <c r="E68" s="14" t="str">
        <f>IF(_xlfn.XLOOKUP(ROW(E68)-ROW(E$64),報告用!$AF$42:$AF$69,報告用!$E$42:$E$69,"",FALSE)=B68,"",_xlfn.XLOOKUP(ROW(E68)-ROW(E$64),報告用!$AF$42:$AF$69,報告用!$E$42:$E$69,"",FALSE))</f>
        <v/>
      </c>
      <c r="F68" s="2"/>
      <c r="G68" s="207"/>
      <c r="H68" s="12" t="str">
        <f>_xlfn.XLOOKUP(ROW(H68)-ROW(H$64),報告用!$AG$42:$AG$69,報告用!$F$42:$F$69,"",FALSE)</f>
        <v/>
      </c>
      <c r="I68" s="26" t="str">
        <f>_xlfn.XLOOKUP(ROW(I68)-ROW(I$64),報告用!$AG$42:$AG$69,報告用!$G$42:$G$69,"",FALSE)</f>
        <v/>
      </c>
      <c r="J68" s="13" t="str">
        <f t="shared" si="10"/>
        <v/>
      </c>
      <c r="K68" s="14" t="str">
        <f>IF(_xlfn.XLOOKUP(ROW(K68)-ROW(K$64),報告用!$AG$42:$AG$69,報告用!$E$42:$E$69,"",FALSE)=H68,"",_xlfn.XLOOKUP(ROW(K68)-ROW(K$64),報告用!$AG$42:$AG$69,報告用!$E$42:$E$69,"",FALSE))</f>
        <v/>
      </c>
      <c r="L68" s="3"/>
      <c r="M68" s="207"/>
      <c r="N68" s="12" t="str">
        <f>_xlfn.XLOOKUP(ROW(N68)-ROW(N$64),報告用!$AH$42:$AH$69,報告用!$F$42:$F$69,"",FALSE)</f>
        <v/>
      </c>
      <c r="O68" s="26" t="str">
        <f>_xlfn.XLOOKUP(ROW(O68)-ROW(O$64),報告用!$AH$42:$AH$69,報告用!$G$42:$G$69,"",FALSE)</f>
        <v/>
      </c>
      <c r="P68" s="13" t="str">
        <f t="shared" si="11"/>
        <v/>
      </c>
      <c r="Q68" s="14" t="str">
        <f>IF(_xlfn.XLOOKUP(ROW(Q68)-ROW(Q$64),報告用!$AH$42:$AH$69,報告用!$E$42:$E$69,"",FALSE)=N68,"",_xlfn.XLOOKUP(ROW(Q68)-ROW(Q$64),報告用!$AH$42:$AH$69,報告用!$E$42:$E$69,"",FALSE))</f>
        <v/>
      </c>
    </row>
    <row r="69" spans="1:17" ht="27" customHeight="1" thickTop="1">
      <c r="A69" s="212" t="s">
        <v>25</v>
      </c>
      <c r="B69" s="15">
        <f>_xlfn.XLOOKUP(ROW(B69)-ROW(B$68),報告用!$AK$42:$AK$69,報告用!$F$42:$F$69,"",FALSE)</f>
        <v>23</v>
      </c>
      <c r="C69" s="27" t="str">
        <f>_xlfn.XLOOKUP(ROW(C69)-ROW(C$68),報告用!$AK$42:$AK$69,報告用!$G$42:$G$69,"",FALSE)</f>
        <v>森下計二</v>
      </c>
      <c r="D69" s="16" t="str">
        <f t="shared" si="9"/>
        <v>様</v>
      </c>
      <c r="E69" s="17" t="str">
        <f>IF(_xlfn.XLOOKUP(ROW(E69)-ROW(E$68),報告用!$AK$42:$AK$69,報告用!$E$42:$E$69,"",FALSE)=B69,"",_xlfn.XLOOKUP(ROW(E69)-ROW(E$68),報告用!$AK$42:$AK$69,報告用!$E$42:$E$69,"",FALSE))</f>
        <v/>
      </c>
      <c r="F69" s="2"/>
      <c r="G69" s="213" t="s">
        <v>25</v>
      </c>
      <c r="H69" s="15">
        <f>_xlfn.XLOOKUP(ROW(H69)-ROW(H$68),報告用!$AL$42:$AL$69,報告用!$F$42:$F$69,"",FALSE)</f>
        <v>23</v>
      </c>
      <c r="I69" s="27" t="str">
        <f>_xlfn.XLOOKUP(ROW(I69)-ROW(I$68),報告用!$AL$42:$AL$69,報告用!$G$42:$G$69,"",FALSE)</f>
        <v>森下計二</v>
      </c>
      <c r="J69" s="16" t="str">
        <f t="shared" si="10"/>
        <v>様</v>
      </c>
      <c r="K69" s="17" t="str">
        <f>IF(_xlfn.XLOOKUP(ROW(K69)-ROW(K$68),報告用!$AL$42:$AL$69,報告用!$E$42:$E$69,"",FALSE)=H69,"",_xlfn.XLOOKUP(ROW(K69)-ROW(K$68),報告用!$AL$42:$AL$69,報告用!$E$42:$E$69,"",FALSE))</f>
        <v/>
      </c>
      <c r="L69" s="3"/>
      <c r="M69" s="213" t="s">
        <v>25</v>
      </c>
      <c r="N69" s="15">
        <f>_xlfn.XLOOKUP(ROW(N69)-ROW(N$68),報告用!$AM$42:$AM$69,報告用!$F$42:$F$69,"",FALSE)</f>
        <v>23</v>
      </c>
      <c r="O69" s="27" t="str">
        <f>_xlfn.XLOOKUP(ROW(O69)-ROW(O$68),報告用!$AM$42:$AM$69,報告用!$G$42:$G$69,"",FALSE)</f>
        <v>森下計二</v>
      </c>
      <c r="P69" s="16" t="str">
        <f t="shared" si="11"/>
        <v>様</v>
      </c>
      <c r="Q69" s="17" t="str">
        <f>IF(_xlfn.XLOOKUP(ROW(Q69)-ROW(Q$68),報告用!$AM$42:$AM$69,報告用!$E$42:$E$69,"",FALSE)=N69,"",_xlfn.XLOOKUP(ROW(Q69)-ROW(Q$68),報告用!$AM$42:$AM$69,報告用!$E$42:$E$69,"",FALSE))</f>
        <v/>
      </c>
    </row>
    <row r="70" spans="1:17" ht="27" customHeight="1">
      <c r="A70" s="213"/>
      <c r="B70" s="9">
        <f>_xlfn.XLOOKUP(ROW(B70)-ROW(B$68),報告用!$AK$42:$AK$69,報告用!$F$42:$F$69,"",FALSE)</f>
        <v>23</v>
      </c>
      <c r="C70" s="25" t="str">
        <f>_xlfn.XLOOKUP(ROW(C70)-ROW(C$68),報告用!$AK$42:$AK$69,報告用!$G$42:$G$69,"",FALSE)</f>
        <v>遠山　貞一</v>
      </c>
      <c r="D70" s="10" t="str">
        <f t="shared" si="9"/>
        <v>様</v>
      </c>
      <c r="E70" s="11" t="str">
        <f>IF(_xlfn.XLOOKUP(ROW(E70)-ROW(E$68),報告用!$AK$42:$AK$69,報告用!$E$42:$E$69,"",FALSE)=B70,"",_xlfn.XLOOKUP(ROW(E70)-ROW(E$68),報告用!$AK$42:$AK$69,報告用!$E$42:$E$69,"",FALSE))</f>
        <v/>
      </c>
      <c r="F70" s="2"/>
      <c r="G70" s="213"/>
      <c r="H70" s="9">
        <f>_xlfn.XLOOKUP(ROW(H70)-ROW(H$68),報告用!$AL$42:$AL$69,報告用!$F$42:$F$69,"",FALSE)</f>
        <v>23</v>
      </c>
      <c r="I70" s="25" t="str">
        <f>_xlfn.XLOOKUP(ROW(I70)-ROW(I$68),報告用!$AL$42:$AL$69,報告用!$G$42:$G$69,"",FALSE)</f>
        <v>遠山　貞一</v>
      </c>
      <c r="J70" s="10" t="str">
        <f t="shared" si="10"/>
        <v>様</v>
      </c>
      <c r="K70" s="11" t="str">
        <f>IF(_xlfn.XLOOKUP(ROW(K70)-ROW(K$68),報告用!$AL$42:$AL$69,報告用!$E$42:$E$69,"",FALSE)=H70,"",_xlfn.XLOOKUP(ROW(K70)-ROW(K$68),報告用!$AL$42:$AL$69,報告用!$E$42:$E$69,"",FALSE))</f>
        <v/>
      </c>
      <c r="L70" s="3"/>
      <c r="M70" s="213"/>
      <c r="N70" s="9">
        <f>_xlfn.XLOOKUP(ROW(N70)-ROW(N$68),報告用!$AM$42:$AM$69,報告用!$F$42:$F$69,"",FALSE)</f>
        <v>23</v>
      </c>
      <c r="O70" s="25" t="str">
        <f>_xlfn.XLOOKUP(ROW(O70)-ROW(O$68),報告用!$AM$42:$AM$69,報告用!$G$42:$G$69,"",FALSE)</f>
        <v>遠山　貞一</v>
      </c>
      <c r="P70" s="10" t="str">
        <f t="shared" si="11"/>
        <v>様</v>
      </c>
      <c r="Q70" s="11" t="str">
        <f>IF(_xlfn.XLOOKUP(ROW(Q70)-ROW(Q$68),報告用!$AM$42:$AM$69,報告用!$E$42:$E$69,"",FALSE)=N70,"",_xlfn.XLOOKUP(ROW(Q70)-ROW(Q$68),報告用!$AM$42:$AM$69,報告用!$E$42:$E$69,"",FALSE))</f>
        <v/>
      </c>
    </row>
    <row r="71" spans="1:17" ht="27" customHeight="1">
      <c r="A71" s="213"/>
      <c r="B71" s="9">
        <f>_xlfn.XLOOKUP(ROW(B71)-ROW(B$68),報告用!$AK$42:$AK$69,報告用!$F$42:$F$69,"",FALSE)</f>
        <v>25</v>
      </c>
      <c r="C71" s="25" t="str">
        <f>_xlfn.XLOOKUP(ROW(C71)-ROW(C$68),報告用!$AK$42:$AK$69,報告用!$G$42:$G$69,"",FALSE)</f>
        <v>千野　周恵</v>
      </c>
      <c r="D71" s="10" t="str">
        <f t="shared" si="9"/>
        <v>様</v>
      </c>
      <c r="E71" s="11" t="str">
        <f>IF(_xlfn.XLOOKUP(ROW(E71)-ROW(E$68),報告用!$AK$42:$AK$69,報告用!$E$42:$E$69,"",FALSE)=B71,"",_xlfn.XLOOKUP(ROW(E71)-ROW(E$68),報告用!$AK$42:$AK$69,報告用!$E$42:$E$69,"",FALSE))</f>
        <v/>
      </c>
      <c r="F71" s="2"/>
      <c r="G71" s="213"/>
      <c r="H71" s="9">
        <f>_xlfn.XLOOKUP(ROW(H71)-ROW(H$68),報告用!$AL$42:$AL$69,報告用!$F$42:$F$69,"",FALSE)</f>
        <v>25</v>
      </c>
      <c r="I71" s="25" t="str">
        <f>_xlfn.XLOOKUP(ROW(I71)-ROW(I$68),報告用!$AL$42:$AL$69,報告用!$G$42:$G$69,"",FALSE)</f>
        <v>千野　周恵</v>
      </c>
      <c r="J71" s="10" t="str">
        <f t="shared" si="10"/>
        <v>様</v>
      </c>
      <c r="K71" s="11" t="str">
        <f>IF(_xlfn.XLOOKUP(ROW(K71)-ROW(K$68),報告用!$AL$42:$AL$69,報告用!$E$42:$E$69,"",FALSE)=H71,"",_xlfn.XLOOKUP(ROW(K71)-ROW(K$68),報告用!$AL$42:$AL$69,報告用!$E$42:$E$69,"",FALSE))</f>
        <v/>
      </c>
      <c r="L71" s="3"/>
      <c r="M71" s="213"/>
      <c r="N71" s="9">
        <f>_xlfn.XLOOKUP(ROW(N71)-ROW(N$68),報告用!$AM$42:$AM$69,報告用!$F$42:$F$69,"",FALSE)</f>
        <v>25</v>
      </c>
      <c r="O71" s="25" t="str">
        <f>_xlfn.XLOOKUP(ROW(O71)-ROW(O$68),報告用!$AM$42:$AM$69,報告用!$G$42:$G$69,"",FALSE)</f>
        <v>千野　周恵</v>
      </c>
      <c r="P71" s="10" t="str">
        <f t="shared" si="11"/>
        <v>様</v>
      </c>
      <c r="Q71" s="11" t="str">
        <f>IF(_xlfn.XLOOKUP(ROW(Q71)-ROW(Q$68),報告用!$AM$42:$AM$69,報告用!$E$42:$E$69,"",FALSE)=N71,"",_xlfn.XLOOKUP(ROW(Q71)-ROW(Q$68),報告用!$AM$42:$AM$69,報告用!$E$42:$E$69,"",FALSE))</f>
        <v/>
      </c>
    </row>
    <row r="72" spans="1:17" ht="27" customHeight="1">
      <c r="A72" s="213"/>
      <c r="B72" s="9">
        <f>_xlfn.XLOOKUP(ROW(B72)-ROW(B$68),報告用!$AK$42:$AK$69,報告用!$F$42:$F$69,"",FALSE)</f>
        <v>25</v>
      </c>
      <c r="C72" s="25" t="str">
        <f>_xlfn.XLOOKUP(ROW(C72)-ROW(C$68),報告用!$AK$42:$AK$69,報告用!$G$42:$G$69,"",FALSE)</f>
        <v>鈴木　賢浄</v>
      </c>
      <c r="D72" s="10" t="str">
        <f t="shared" si="9"/>
        <v>様</v>
      </c>
      <c r="E72" s="11" t="str">
        <f>IF(_xlfn.XLOOKUP(ROW(E72)-ROW(E$68),報告用!$AK$42:$AK$69,報告用!$E$42:$E$69,"",FALSE)=B72,"",_xlfn.XLOOKUP(ROW(E72)-ROW(E$68),報告用!$AK$42:$AK$69,報告用!$E$42:$E$69,"",FALSE))</f>
        <v/>
      </c>
      <c r="F72" s="2"/>
      <c r="G72" s="213"/>
      <c r="H72" s="9">
        <f>_xlfn.XLOOKUP(ROW(H72)-ROW(H$68),報告用!$AL$42:$AL$69,報告用!$F$42:$F$69,"",FALSE)</f>
        <v>25</v>
      </c>
      <c r="I72" s="25" t="str">
        <f>_xlfn.XLOOKUP(ROW(I72)-ROW(I$68),報告用!$AL$42:$AL$69,報告用!$G$42:$G$69,"",FALSE)</f>
        <v>鈴木　賢浄</v>
      </c>
      <c r="J72" s="10" t="str">
        <f t="shared" si="10"/>
        <v>様</v>
      </c>
      <c r="K72" s="11" t="str">
        <f>IF(_xlfn.XLOOKUP(ROW(K72)-ROW(K$68),報告用!$AL$42:$AL$69,報告用!$E$42:$E$69,"",FALSE)=H72,"",_xlfn.XLOOKUP(ROW(K72)-ROW(K$68),報告用!$AL$42:$AL$69,報告用!$E$42:$E$69,"",FALSE))</f>
        <v/>
      </c>
      <c r="L72" s="3"/>
      <c r="M72" s="213"/>
      <c r="N72" s="9">
        <f>_xlfn.XLOOKUP(ROW(N72)-ROW(N$68),報告用!$AM$42:$AM$69,報告用!$F$42:$F$69,"",FALSE)</f>
        <v>25</v>
      </c>
      <c r="O72" s="25" t="str">
        <f>_xlfn.XLOOKUP(ROW(O72)-ROW(O$68),報告用!$AM$42:$AM$69,報告用!$G$42:$G$69,"",FALSE)</f>
        <v>鈴木　賢浄</v>
      </c>
      <c r="P72" s="10" t="str">
        <f t="shared" si="11"/>
        <v>様</v>
      </c>
      <c r="Q72" s="11" t="str">
        <f>IF(_xlfn.XLOOKUP(ROW(Q72)-ROW(Q$68),報告用!$AM$42:$AM$69,報告用!$E$42:$E$69,"",FALSE)=N72,"",_xlfn.XLOOKUP(ROW(Q72)-ROW(Q$68),報告用!$AM$42:$AM$69,報告用!$E$42:$E$69,"",FALSE))</f>
        <v/>
      </c>
    </row>
    <row r="73" spans="1:17" ht="27" customHeight="1">
      <c r="A73" s="213"/>
      <c r="B73" s="15">
        <f>_xlfn.XLOOKUP(ROW(B73)-ROW(B$68),報告用!$AK$42:$AK$69,報告用!$F$42:$F$69,"",FALSE)</f>
        <v>25</v>
      </c>
      <c r="C73" s="27" t="str">
        <f>_xlfn.XLOOKUP(ROW(C73)-ROW(C$68),報告用!$AK$42:$AK$69,報告用!$G$42:$G$69,"",FALSE)</f>
        <v>渡邉　和洋</v>
      </c>
      <c r="D73" s="16" t="str">
        <f t="shared" si="9"/>
        <v>様</v>
      </c>
      <c r="E73" s="17" t="str">
        <f>IF(_xlfn.XLOOKUP(ROW(E73)-ROW(E$68),報告用!$AK$42:$AK$69,報告用!$E$42:$E$69,"",FALSE)=B73,"",_xlfn.XLOOKUP(ROW(E73)-ROW(E$68),報告用!$AK$42:$AK$69,報告用!$E$42:$E$69,"",FALSE))</f>
        <v/>
      </c>
      <c r="F73" s="2"/>
      <c r="G73" s="213"/>
      <c r="H73" s="9">
        <f>_xlfn.XLOOKUP(ROW(H73)-ROW(H$68),報告用!$AL$42:$AL$69,報告用!$F$42:$F$69,"",FALSE)</f>
        <v>25</v>
      </c>
      <c r="I73" s="25" t="str">
        <f>_xlfn.XLOOKUP(ROW(I73)-ROW(I$68),報告用!$AL$42:$AL$69,報告用!$G$42:$G$69,"",FALSE)</f>
        <v>渡邉　和洋</v>
      </c>
      <c r="J73" s="10" t="str">
        <f t="shared" si="10"/>
        <v>様</v>
      </c>
      <c r="K73" s="11" t="str">
        <f>IF(_xlfn.XLOOKUP(ROW(K73)-ROW(K$68),報告用!$AL$42:$AL$69,報告用!$E$42:$E$69,"",FALSE)=H73,"",_xlfn.XLOOKUP(ROW(K73)-ROW(K$68),報告用!$AL$42:$AL$69,報告用!$E$42:$E$69,"",FALSE))</f>
        <v/>
      </c>
      <c r="L73" s="3"/>
      <c r="M73" s="213"/>
      <c r="N73" s="9">
        <f>_xlfn.XLOOKUP(ROW(N73)-ROW(N$68),報告用!$AM$42:$AM$69,報告用!$F$42:$F$69,"",FALSE)</f>
        <v>25</v>
      </c>
      <c r="O73" s="25" t="str">
        <f>_xlfn.XLOOKUP(ROW(O73)-ROW(O$68),報告用!$AM$42:$AM$69,報告用!$G$42:$G$69,"",FALSE)</f>
        <v>渡邉　和洋</v>
      </c>
      <c r="P73" s="10" t="str">
        <f t="shared" si="11"/>
        <v>様</v>
      </c>
      <c r="Q73" s="11" t="str">
        <f>IF(_xlfn.XLOOKUP(ROW(Q73)-ROW(Q$68),報告用!$AM$42:$AM$69,報告用!$E$42:$E$69,"",FALSE)=N73,"",_xlfn.XLOOKUP(ROW(Q73)-ROW(Q$68),報告用!$AM$42:$AM$69,報告用!$E$42:$E$69,"",FALSE))</f>
        <v/>
      </c>
    </row>
    <row r="74" spans="1:17" ht="27" customHeight="1">
      <c r="A74" s="213"/>
      <c r="B74" s="9" t="str">
        <f>_xlfn.XLOOKUP(ROW(B74)-ROW(B$68),報告用!$AK$42:$AK$69,報告用!$F$42:$F$69,"",FALSE)</f>
        <v/>
      </c>
      <c r="C74" s="25" t="str">
        <f>_xlfn.XLOOKUP(ROW(C74)-ROW(C$68),報告用!$AK$42:$AK$69,報告用!$G$42:$G$69,"",FALSE)</f>
        <v/>
      </c>
      <c r="D74" s="10" t="str">
        <f t="shared" si="9"/>
        <v/>
      </c>
      <c r="E74" s="11" t="str">
        <f>IF(_xlfn.XLOOKUP(ROW(E74)-ROW(E$68),報告用!$AK$42:$AK$69,報告用!$E$42:$E$69,"",FALSE)=B74,"",_xlfn.XLOOKUP(ROW(E74)-ROW(E$68),報告用!$AK$42:$AK$69,報告用!$E$42:$E$69,"",FALSE))</f>
        <v/>
      </c>
      <c r="F74" s="2"/>
      <c r="G74" s="213"/>
      <c r="H74" s="9" t="str">
        <f>_xlfn.XLOOKUP(ROW(H74)-ROW(H$68),報告用!$AL$42:$AL$69,報告用!$F$42:$F$69,"",FALSE)</f>
        <v/>
      </c>
      <c r="I74" s="25" t="str">
        <f>_xlfn.XLOOKUP(ROW(I74)-ROW(I$68),報告用!$AL$42:$AL$69,報告用!$G$42:$G$69,"",FALSE)</f>
        <v/>
      </c>
      <c r="J74" s="10" t="str">
        <f t="shared" si="10"/>
        <v/>
      </c>
      <c r="K74" s="11" t="str">
        <f>IF(_xlfn.XLOOKUP(ROW(K74)-ROW(K$68),報告用!$AL$42:$AL$69,報告用!$E$42:$E$69,"",FALSE)=H74,"",_xlfn.XLOOKUP(ROW(K74)-ROW(K$68),報告用!$AL$42:$AL$69,報告用!$E$42:$E$69,"",FALSE))</f>
        <v/>
      </c>
      <c r="L74" s="3"/>
      <c r="M74" s="213"/>
      <c r="N74" s="9" t="str">
        <f>_xlfn.XLOOKUP(ROW(N74)-ROW(N$68),報告用!$AM$42:$AM$69,報告用!$F$42:$F$69,"",FALSE)</f>
        <v/>
      </c>
      <c r="O74" s="25" t="str">
        <f>_xlfn.XLOOKUP(ROW(O74)-ROW(O$68),報告用!$AM$42:$AM$69,報告用!$G$42:$G$69,"",FALSE)</f>
        <v/>
      </c>
      <c r="P74" s="10" t="str">
        <f t="shared" si="11"/>
        <v/>
      </c>
      <c r="Q74" s="11" t="str">
        <f>IF(_xlfn.XLOOKUP(ROW(Q74)-ROW(Q$68),報告用!$AM$42:$AM$69,報告用!$E$42:$E$69,"",FALSE)=N74,"",_xlfn.XLOOKUP(ROW(Q74)-ROW(Q$68),報告用!$AM$42:$AM$69,報告用!$E$42:$E$69,"",FALSE))</f>
        <v/>
      </c>
    </row>
    <row r="75" spans="1:17" ht="27" customHeight="1">
      <c r="A75" s="213"/>
      <c r="B75" s="9" t="str">
        <f>_xlfn.XLOOKUP(ROW(B75)-ROW(B$68),報告用!$AK$42:$AK$69,報告用!$F$42:$F$69,"",FALSE)</f>
        <v/>
      </c>
      <c r="C75" s="25" t="str">
        <f>_xlfn.XLOOKUP(ROW(C75)-ROW(C$68),報告用!$AK$42:$AK$69,報告用!$G$42:$G$69,"",FALSE)</f>
        <v/>
      </c>
      <c r="D75" s="10" t="str">
        <f t="shared" si="9"/>
        <v/>
      </c>
      <c r="E75" s="11" t="str">
        <f>IF(_xlfn.XLOOKUP(ROW(E75)-ROW(E$68),報告用!$AK$42:$AK$69,報告用!$E$42:$E$69,"",FALSE)=B75,"",_xlfn.XLOOKUP(ROW(E75)-ROW(E$68),報告用!$AK$42:$AK$69,報告用!$E$42:$E$69,"",FALSE))</f>
        <v/>
      </c>
      <c r="F75" s="2"/>
      <c r="G75" s="213"/>
      <c r="H75" s="9">
        <f>_xlfn.XLOOKUP(ROW(H75)-ROW(H$68),報告用!$AL$42:$AL$69,報告用!$F$42:$F$69,"",FALSE)</f>
        <v>1</v>
      </c>
      <c r="I75" s="25" t="str">
        <f>_xlfn.XLOOKUP(ROW(I75)-ROW(I$68),報告用!$AL$42:$AL$69,報告用!$G$42:$G$69,"",FALSE)</f>
        <v>太田　恵須子</v>
      </c>
      <c r="J75" s="10" t="str">
        <f t="shared" si="10"/>
        <v>様</v>
      </c>
      <c r="K75" s="11" t="str">
        <f>IF(_xlfn.XLOOKUP(ROW(K75)-ROW(K$68),報告用!$AL$42:$AL$69,報告用!$E$42:$E$69,"",FALSE)=H75,"",_xlfn.XLOOKUP(ROW(K75)-ROW(K$68),報告用!$AL$42:$AL$69,報告用!$E$42:$E$69,"",FALSE))</f>
        <v/>
      </c>
      <c r="L75" s="3"/>
      <c r="M75" s="213"/>
      <c r="N75" s="9" t="str">
        <f>_xlfn.XLOOKUP(ROW(N75)-ROW(N$68),報告用!$AM$42:$AM$69,報告用!$F$42:$F$69,"",FALSE)</f>
        <v/>
      </c>
      <c r="O75" s="25" t="str">
        <f>_xlfn.XLOOKUP(ROW(O75)-ROW(O$68),報告用!$AM$42:$AM$69,報告用!$G$42:$G$69,"",FALSE)</f>
        <v/>
      </c>
      <c r="P75" s="10" t="str">
        <f t="shared" si="11"/>
        <v/>
      </c>
      <c r="Q75" s="11" t="str">
        <f>IF(_xlfn.XLOOKUP(ROW(Q75)-ROW(Q$68),報告用!$AM$42:$AM$69,報告用!$E$42:$E$69,"",FALSE)=N75,"",_xlfn.XLOOKUP(ROW(Q75)-ROW(Q$68),報告用!$AM$42:$AM$69,報告用!$E$42:$E$69,"",FALSE))</f>
        <v/>
      </c>
    </row>
    <row r="76" spans="1:17" ht="27" customHeight="1">
      <c r="A76" s="213"/>
      <c r="B76" s="9" t="str">
        <f>_xlfn.XLOOKUP(ROW(B76)-ROW(B$68),報告用!$AK$42:$AK$69,報告用!$F$42:$F$69,"",FALSE)</f>
        <v/>
      </c>
      <c r="C76" s="25" t="str">
        <f>_xlfn.XLOOKUP(ROW(C76)-ROW(C$68),報告用!$AK$42:$AK$69,報告用!$G$42:$G$69,"",FALSE)</f>
        <v/>
      </c>
      <c r="D76" s="10" t="str">
        <f t="shared" si="9"/>
        <v/>
      </c>
      <c r="E76" s="11" t="str">
        <f>IF(_xlfn.XLOOKUP(ROW(E76)-ROW(E$68),報告用!$AK$42:$AK$69,報告用!$E$42:$E$69,"",FALSE)=B76,"",_xlfn.XLOOKUP(ROW(E76)-ROW(E$68),報告用!$AK$42:$AK$69,報告用!$E$42:$E$69,"",FALSE))</f>
        <v/>
      </c>
      <c r="F76" s="2"/>
      <c r="G76" s="213"/>
      <c r="H76" s="9" t="str">
        <f>_xlfn.XLOOKUP(ROW(H76)-ROW(H$68),報告用!$AL$42:$AL$69,報告用!$F$42:$F$69,"",FALSE)</f>
        <v/>
      </c>
      <c r="I76" s="25" t="str">
        <f>_xlfn.XLOOKUP(ROW(I76)-ROW(I$68),報告用!$AL$42:$AL$69,報告用!$G$42:$G$69,"",FALSE)</f>
        <v/>
      </c>
      <c r="J76" s="10" t="str">
        <f t="shared" si="10"/>
        <v/>
      </c>
      <c r="K76" s="11" t="str">
        <f>IF(_xlfn.XLOOKUP(ROW(K76)-ROW(K$68),報告用!$AL$42:$AL$69,報告用!$E$42:$E$69,"",FALSE)=H76,"",_xlfn.XLOOKUP(ROW(K76)-ROW(K$68),報告用!$AL$42:$AL$69,報告用!$E$42:$E$69,"",FALSE))</f>
        <v/>
      </c>
      <c r="L76" s="3"/>
      <c r="M76" s="213"/>
      <c r="N76" s="9" t="str">
        <f>_xlfn.XLOOKUP(ROW(N76)-ROW(N$68),報告用!$AM$42:$AM$69,報告用!$F$42:$F$69,"",FALSE)</f>
        <v/>
      </c>
      <c r="O76" s="25" t="str">
        <f>_xlfn.XLOOKUP(ROW(O76)-ROW(O$68),報告用!$AM$42:$AM$69,報告用!$G$42:$G$69,"",FALSE)</f>
        <v/>
      </c>
      <c r="P76" s="10" t="str">
        <f t="shared" si="11"/>
        <v/>
      </c>
      <c r="Q76" s="11" t="str">
        <f>IF(_xlfn.XLOOKUP(ROW(Q76)-ROW(Q$68),報告用!$AM$42:$AM$69,報告用!$E$42:$E$69,"",FALSE)=N76,"",_xlfn.XLOOKUP(ROW(Q76)-ROW(Q$68),報告用!$AM$42:$AM$69,報告用!$E$42:$E$69,"",FALSE))</f>
        <v/>
      </c>
    </row>
    <row r="77" spans="1:17" ht="27" customHeight="1">
      <c r="A77" s="213"/>
      <c r="B77" s="9">
        <f>_xlfn.XLOOKUP(ROW(B77)-ROW(B$68),報告用!$AK$42:$AK$69,報告用!$F$42:$F$69,"",FALSE)</f>
        <v>5</v>
      </c>
      <c r="C77" s="25" t="str">
        <f>_xlfn.XLOOKUP(ROW(C77)-ROW(C$68),報告用!$AK$42:$AK$69,報告用!$G$42:$G$69,"",FALSE)</f>
        <v>高田 保英</v>
      </c>
      <c r="D77" s="10" t="str">
        <f t="shared" si="9"/>
        <v>様</v>
      </c>
      <c r="E77" s="11">
        <f>IF(_xlfn.XLOOKUP(ROW(E77)-ROW(E$68),報告用!$AK$42:$AK$69,報告用!$E$42:$E$69,"",FALSE)=B77,"",_xlfn.XLOOKUP(ROW(E77)-ROW(E$68),報告用!$AK$42:$AK$69,報告用!$E$42:$E$69,"",FALSE))</f>
        <v>25</v>
      </c>
      <c r="F77" s="2"/>
      <c r="G77" s="213"/>
      <c r="H77" s="9">
        <f>_xlfn.XLOOKUP(ROW(H77)-ROW(H$68),報告用!$AL$42:$AL$69,報告用!$F$42:$F$69,"",FALSE)</f>
        <v>5</v>
      </c>
      <c r="I77" s="25" t="str">
        <f>_xlfn.XLOOKUP(ROW(I77)-ROW(I$68),報告用!$AL$42:$AL$69,報告用!$G$42:$G$69,"",FALSE)</f>
        <v>高田 保英</v>
      </c>
      <c r="J77" s="10" t="str">
        <f t="shared" si="10"/>
        <v>様</v>
      </c>
      <c r="K77" s="11">
        <f>IF(_xlfn.XLOOKUP(ROW(K77)-ROW(K$68),報告用!$AL$42:$AL$69,報告用!$E$42:$E$69,"",FALSE)=H77,"",_xlfn.XLOOKUP(ROW(K77)-ROW(K$68),報告用!$AL$42:$AL$69,報告用!$E$42:$E$69,"",FALSE))</f>
        <v>25</v>
      </c>
      <c r="L77" s="3"/>
      <c r="M77" s="213"/>
      <c r="N77" s="9">
        <f>_xlfn.XLOOKUP(ROW(N77)-ROW(N$68),報告用!$AM$42:$AM$69,報告用!$F$42:$F$69,"",FALSE)</f>
        <v>5</v>
      </c>
      <c r="O77" s="25" t="str">
        <f>_xlfn.XLOOKUP(ROW(O77)-ROW(O$68),報告用!$AM$42:$AM$69,報告用!$G$42:$G$69,"",FALSE)</f>
        <v>高田 保英</v>
      </c>
      <c r="P77" s="10" t="str">
        <f t="shared" si="11"/>
        <v>様</v>
      </c>
      <c r="Q77" s="11">
        <f>IF(_xlfn.XLOOKUP(ROW(Q77)-ROW(Q$68),報告用!$AM$42:$AM$69,報告用!$E$42:$E$69,"",FALSE)=N77,"",_xlfn.XLOOKUP(ROW(Q77)-ROW(Q$68),報告用!$AM$42:$AM$69,報告用!$E$42:$E$69,"",FALSE))</f>
        <v>25</v>
      </c>
    </row>
    <row r="78" spans="1:17" ht="27" customHeight="1">
      <c r="A78" s="213"/>
      <c r="B78" s="9" t="str">
        <f>_xlfn.XLOOKUP(ROW(B78)-ROW(B$68),報告用!$AK$42:$AK$69,報告用!$F$42:$F$69,"",FALSE)</f>
        <v/>
      </c>
      <c r="C78" s="25" t="str">
        <f>_xlfn.XLOOKUP(ROW(C78)-ROW(C$68),報告用!$AK$42:$AK$69,報告用!$G$42:$G$69,"",FALSE)</f>
        <v/>
      </c>
      <c r="D78" s="10" t="str">
        <f t="shared" si="9"/>
        <v/>
      </c>
      <c r="E78" s="11" t="str">
        <f>IF(_xlfn.XLOOKUP(ROW(E78)-ROW(E$68),報告用!$AK$42:$AK$69,報告用!$E$42:$E$69,"",FALSE)=B78,"",_xlfn.XLOOKUP(ROW(E78)-ROW(E$68),報告用!$AK$42:$AK$69,報告用!$E$42:$E$69,"",FALSE))</f>
        <v/>
      </c>
      <c r="F78" s="2"/>
      <c r="G78" s="213"/>
      <c r="H78" s="9" t="str">
        <f>_xlfn.XLOOKUP(ROW(H78)-ROW(H$68),報告用!$AL$42:$AL$69,報告用!$F$42:$F$69,"",FALSE)</f>
        <v/>
      </c>
      <c r="I78" s="25" t="str">
        <f>_xlfn.XLOOKUP(ROW(I78)-ROW(I$68),報告用!$AL$42:$AL$69,報告用!$G$42:$G$69,"",FALSE)</f>
        <v/>
      </c>
      <c r="J78" s="10" t="str">
        <f t="shared" si="10"/>
        <v/>
      </c>
      <c r="K78" s="11" t="str">
        <f>IF(_xlfn.XLOOKUP(ROW(K78)-ROW(K$68),報告用!$AL$42:$AL$69,報告用!$E$42:$E$69,"",FALSE)=H78,"",_xlfn.XLOOKUP(ROW(K78)-ROW(K$68),報告用!$AL$42:$AL$69,報告用!$E$42:$E$69,"",FALSE))</f>
        <v/>
      </c>
      <c r="L78" s="3"/>
      <c r="M78" s="213"/>
      <c r="N78" s="9" t="str">
        <f>_xlfn.XLOOKUP(ROW(N78)-ROW(N$68),報告用!$AM$42:$AM$69,報告用!$F$42:$F$69,"",FALSE)</f>
        <v/>
      </c>
      <c r="O78" s="25" t="str">
        <f>_xlfn.XLOOKUP(ROW(O78)-ROW(O$68),報告用!$AM$42:$AM$69,報告用!$G$42:$G$69,"",FALSE)</f>
        <v/>
      </c>
      <c r="P78" s="10" t="str">
        <f t="shared" si="11"/>
        <v/>
      </c>
      <c r="Q78" s="11" t="str">
        <f>IF(_xlfn.XLOOKUP(ROW(Q78)-ROW(Q$68),報告用!$AM$42:$AM$69,報告用!$E$42:$E$69,"",FALSE)=N78,"",_xlfn.XLOOKUP(ROW(Q78)-ROW(Q$68),報告用!$AM$42:$AM$69,報告用!$E$42:$E$69,"",FALSE))</f>
        <v/>
      </c>
    </row>
    <row r="79" spans="1:17" ht="27" customHeight="1">
      <c r="A79" s="213"/>
      <c r="B79" s="9" t="str">
        <f>_xlfn.XLOOKUP(ROW(B79)-ROW(B$68),報告用!$AK$42:$AK$69,報告用!$F$42:$F$69,"",FALSE)</f>
        <v/>
      </c>
      <c r="C79" s="25" t="str">
        <f>_xlfn.XLOOKUP(ROW(C79)-ROW(C$68),報告用!$AK$42:$AK$69,報告用!$G$42:$G$69,"",FALSE)</f>
        <v/>
      </c>
      <c r="D79" s="10" t="str">
        <f t="shared" si="9"/>
        <v/>
      </c>
      <c r="E79" s="11" t="str">
        <f>IF(_xlfn.XLOOKUP(ROW(E79)-ROW(E$68),報告用!$AK$42:$AK$69,報告用!$E$42:$E$69,"",FALSE)=B79,"",_xlfn.XLOOKUP(ROW(E79)-ROW(E$68),報告用!$AK$42:$AK$69,報告用!$E$42:$E$69,"",FALSE))</f>
        <v/>
      </c>
      <c r="F79" s="2"/>
      <c r="G79" s="213"/>
      <c r="H79" s="9" t="str">
        <f>_xlfn.XLOOKUP(ROW(H79)-ROW(H$68),報告用!$AL$42:$AL$69,報告用!$F$42:$F$69,"",FALSE)</f>
        <v/>
      </c>
      <c r="I79" s="25" t="str">
        <f>_xlfn.XLOOKUP(ROW(I79)-ROW(I$68),報告用!$AL$42:$AL$69,報告用!$G$42:$G$69,"",FALSE)</f>
        <v/>
      </c>
      <c r="J79" s="10" t="str">
        <f t="shared" si="10"/>
        <v/>
      </c>
      <c r="K79" s="11" t="str">
        <f>IF(_xlfn.XLOOKUP(ROW(K79)-ROW(K$68),報告用!$AL$42:$AL$69,報告用!$E$42:$E$69,"",FALSE)=H79,"",_xlfn.XLOOKUP(ROW(K79)-ROW(K$68),報告用!$AL$42:$AL$69,報告用!$E$42:$E$69,"",FALSE))</f>
        <v/>
      </c>
      <c r="L79" s="3"/>
      <c r="M79" s="213"/>
      <c r="N79" s="9" t="str">
        <f>_xlfn.XLOOKUP(ROW(N79)-ROW(N$68),報告用!$AM$42:$AM$69,報告用!$F$42:$F$69,"",FALSE)</f>
        <v/>
      </c>
      <c r="O79" s="25" t="str">
        <f>_xlfn.XLOOKUP(ROW(O79)-ROW(O$68),報告用!$AM$42:$AM$69,報告用!$G$42:$G$69,"",FALSE)</f>
        <v/>
      </c>
      <c r="P79" s="10" t="str">
        <f t="shared" si="11"/>
        <v/>
      </c>
      <c r="Q79" s="11" t="str">
        <f>IF(_xlfn.XLOOKUP(ROW(Q79)-ROW(Q$68),報告用!$AM$42:$AM$69,報告用!$E$42:$E$69,"",FALSE)=N79,"",_xlfn.XLOOKUP(ROW(Q79)-ROW(Q$68),報告用!$AM$42:$AM$69,報告用!$E$42:$E$69,"",FALSE))</f>
        <v/>
      </c>
    </row>
    <row r="80" spans="1:17" ht="27" customHeight="1" thickBot="1">
      <c r="A80" s="217"/>
      <c r="B80" s="18">
        <f>_xlfn.XLOOKUP(ROW(B80)-ROW(B$68),報告用!$AK$42:$AK$69,報告用!$F$42:$F$69,"",FALSE)</f>
        <v>7</v>
      </c>
      <c r="C80" s="28" t="str">
        <f>_xlfn.XLOOKUP(ROW(C80)-ROW(C$68),報告用!$AK$42:$AK$69,報告用!$G$42:$G$69,"",FALSE)</f>
        <v>佐藤　光正</v>
      </c>
      <c r="D80" s="19" t="str">
        <f t="shared" si="9"/>
        <v>様</v>
      </c>
      <c r="E80" s="20" t="str">
        <f>IF(_xlfn.XLOOKUP(ROW(E80)-ROW(E$68),報告用!$AK$42:$AK$69,報告用!$E$42:$E$69,"",FALSE)=B80,"",_xlfn.XLOOKUP(ROW(E80)-ROW(E$68),報告用!$AK$42:$AK$69,報告用!$E$42:$E$69,"",FALSE))</f>
        <v/>
      </c>
      <c r="F80" s="2"/>
      <c r="G80" s="217"/>
      <c r="H80" s="18">
        <f>_xlfn.XLOOKUP(ROW(H80)-ROW(H$68),報告用!$AL$42:$AL$69,報告用!$F$42:$F$69,"",FALSE)</f>
        <v>7</v>
      </c>
      <c r="I80" s="28" t="str">
        <f>_xlfn.XLOOKUP(ROW(I80)-ROW(I$68),報告用!$AL$42:$AL$69,報告用!$G$42:$G$69,"",FALSE)</f>
        <v>佐藤　光正</v>
      </c>
      <c r="J80" s="19" t="str">
        <f t="shared" si="10"/>
        <v>様</v>
      </c>
      <c r="K80" s="20" t="str">
        <f>IF(_xlfn.XLOOKUP(ROW(K80)-ROW(K$68),報告用!$AL$42:$AL$69,報告用!$E$42:$E$69,"",FALSE)=H80,"",_xlfn.XLOOKUP(ROW(K80)-ROW(K$68),報告用!$AL$42:$AL$69,報告用!$E$42:$E$69,"",FALSE))</f>
        <v/>
      </c>
      <c r="L80" s="3"/>
      <c r="M80" s="217"/>
      <c r="N80" s="18">
        <f>_xlfn.XLOOKUP(ROW(N80)-ROW(N$68),報告用!$AM$42:$AM$69,報告用!$F$42:$F$69,"",FALSE)</f>
        <v>7</v>
      </c>
      <c r="O80" s="28" t="str">
        <f>_xlfn.XLOOKUP(ROW(O80)-ROW(O$68),報告用!$AM$42:$AM$69,報告用!$G$42:$G$69,"",FALSE)</f>
        <v>佐藤　光正</v>
      </c>
      <c r="P80" s="19" t="str">
        <f t="shared" si="11"/>
        <v>様</v>
      </c>
      <c r="Q80" s="20" t="str">
        <f>IF(_xlfn.XLOOKUP(ROW(Q80)-ROW(Q$68),報告用!$AM$42:$AM$69,報告用!$E$42:$E$69,"",FALSE)=N80,"",_xlfn.XLOOKUP(ROW(Q80)-ROW(Q$68),報告用!$AM$42:$AM$69,報告用!$E$42:$E$69,"",FALSE))</f>
        <v/>
      </c>
    </row>
  </sheetData>
  <mergeCells count="72">
    <mergeCell ref="G65:G68"/>
    <mergeCell ref="M65:M68"/>
    <mergeCell ref="A69:A80"/>
    <mergeCell ref="G69:G80"/>
    <mergeCell ref="M69:M80"/>
    <mergeCell ref="A65:A68"/>
    <mergeCell ref="G61:K62"/>
    <mergeCell ref="A62:E62"/>
    <mergeCell ref="M62:Q62"/>
    <mergeCell ref="A63:A64"/>
    <mergeCell ref="B63:E63"/>
    <mergeCell ref="G63:G64"/>
    <mergeCell ref="H63:K63"/>
    <mergeCell ref="M63:M64"/>
    <mergeCell ref="N63:Q63"/>
    <mergeCell ref="C64:D64"/>
    <mergeCell ref="I64:J64"/>
    <mergeCell ref="O64:P64"/>
    <mergeCell ref="N43:Q43"/>
    <mergeCell ref="C44:D44"/>
    <mergeCell ref="I44:J44"/>
    <mergeCell ref="O44:P44"/>
    <mergeCell ref="A45:A54"/>
    <mergeCell ref="G45:G48"/>
    <mergeCell ref="M45:M48"/>
    <mergeCell ref="G49:G60"/>
    <mergeCell ref="M49:M60"/>
    <mergeCell ref="A55:A60"/>
    <mergeCell ref="A43:A44"/>
    <mergeCell ref="B43:E43"/>
    <mergeCell ref="G43:G44"/>
    <mergeCell ref="H43:K43"/>
    <mergeCell ref="M43:M44"/>
    <mergeCell ref="G25:G28"/>
    <mergeCell ref="M25:M28"/>
    <mergeCell ref="G41:K42"/>
    <mergeCell ref="A42:E42"/>
    <mergeCell ref="M42:Q42"/>
    <mergeCell ref="A29:A40"/>
    <mergeCell ref="G29:G40"/>
    <mergeCell ref="M29:M40"/>
    <mergeCell ref="A25:A28"/>
    <mergeCell ref="G21:K22"/>
    <mergeCell ref="A22:E22"/>
    <mergeCell ref="M22:Q22"/>
    <mergeCell ref="A23:A24"/>
    <mergeCell ref="B23:E23"/>
    <mergeCell ref="G23:G24"/>
    <mergeCell ref="H23:K23"/>
    <mergeCell ref="M23:M24"/>
    <mergeCell ref="N23:Q23"/>
    <mergeCell ref="C24:D24"/>
    <mergeCell ref="I24:J24"/>
    <mergeCell ref="O24:P24"/>
    <mergeCell ref="A5:A12"/>
    <mergeCell ref="G5:G8"/>
    <mergeCell ref="M5:M8"/>
    <mergeCell ref="G9:G20"/>
    <mergeCell ref="M9:M20"/>
    <mergeCell ref="A13:A20"/>
    <mergeCell ref="G1:K2"/>
    <mergeCell ref="A2:E2"/>
    <mergeCell ref="M2:Q2"/>
    <mergeCell ref="A3:A4"/>
    <mergeCell ref="B3:E3"/>
    <mergeCell ref="G3:G4"/>
    <mergeCell ref="H3:K3"/>
    <mergeCell ref="M3:M4"/>
    <mergeCell ref="N3:Q3"/>
    <mergeCell ref="C4:D4"/>
    <mergeCell ref="I4:J4"/>
    <mergeCell ref="O4:P4"/>
  </mergeCells>
  <phoneticPr fontId="1"/>
  <pageMargins left="0.23622047244094491" right="0.23622047244094491" top="0.35433070866141736" bottom="0.35433070866141736"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7"/>
  <sheetViews>
    <sheetView tabSelected="1" zoomScale="115" zoomScaleNormal="115" workbookViewId="0">
      <selection activeCell="B4" sqref="B4"/>
    </sheetView>
  </sheetViews>
  <sheetFormatPr defaultRowHeight="12.75" customHeight="1"/>
  <cols>
    <col min="1" max="1" width="2.625" style="21" customWidth="1"/>
    <col min="2" max="2" width="4.25" style="21" customWidth="1"/>
    <col min="3" max="3" width="6.75" style="21" customWidth="1"/>
    <col min="4" max="4" width="15.125" style="21" bestFit="1" customWidth="1"/>
    <col min="5" max="6" width="5.625" style="21" customWidth="1"/>
    <col min="7" max="7" width="18.625" style="21" customWidth="1"/>
    <col min="8" max="8" width="7.625" style="21" customWidth="1"/>
    <col min="9" max="9" width="9.625" style="21" customWidth="1"/>
    <col min="10" max="14" width="7.625" style="21" customWidth="1"/>
    <col min="15" max="15" width="35.625" style="21" customWidth="1"/>
    <col min="16" max="16" width="4.625" style="21" customWidth="1"/>
    <col min="17" max="17" width="4.75" style="22" customWidth="1"/>
    <col min="18" max="27" width="4.625" style="22" customWidth="1"/>
    <col min="28" max="41" width="4.625" style="21" customWidth="1"/>
    <col min="42" max="16384" width="9" style="21"/>
  </cols>
  <sheetData>
    <row r="1" spans="1:41" ht="15" customHeight="1">
      <c r="A1" s="73"/>
      <c r="B1" s="73"/>
      <c r="C1" s="73"/>
      <c r="D1" s="73"/>
      <c r="E1" s="73"/>
      <c r="F1" s="73"/>
      <c r="G1" s="73" t="s">
        <v>51</v>
      </c>
      <c r="H1" s="73"/>
      <c r="I1" s="73"/>
      <c r="J1" s="73"/>
      <c r="K1" s="73"/>
      <c r="L1" s="73"/>
      <c r="M1" s="73"/>
      <c r="N1" s="73"/>
      <c r="O1" s="74" t="s">
        <v>69</v>
      </c>
      <c r="P1" s="29"/>
      <c r="Q1" s="29"/>
      <c r="R1" s="29"/>
      <c r="S1" s="29"/>
    </row>
    <row r="2" spans="1:41" ht="12.75" customHeight="1">
      <c r="A2" s="73"/>
      <c r="B2" s="32"/>
      <c r="C2" s="32" t="s">
        <v>0</v>
      </c>
      <c r="D2" s="32" t="s">
        <v>0</v>
      </c>
      <c r="E2" s="32" t="s">
        <v>0</v>
      </c>
      <c r="F2" s="32" t="s">
        <v>16</v>
      </c>
      <c r="G2" s="32" t="s">
        <v>16</v>
      </c>
      <c r="H2" s="32"/>
      <c r="I2" s="32" t="s">
        <v>71</v>
      </c>
      <c r="J2" s="221" t="s">
        <v>72</v>
      </c>
      <c r="K2" s="222"/>
      <c r="L2" s="222"/>
      <c r="M2" s="222"/>
      <c r="N2" s="223"/>
      <c r="O2" s="33">
        <v>46106</v>
      </c>
      <c r="P2" s="220" t="s">
        <v>29</v>
      </c>
      <c r="Q2" s="220"/>
      <c r="R2" s="220"/>
      <c r="S2" s="220" t="s">
        <v>34</v>
      </c>
      <c r="T2" s="220"/>
      <c r="U2" s="220"/>
      <c r="V2" s="220"/>
      <c r="W2" s="220"/>
      <c r="X2" s="220" t="s">
        <v>33</v>
      </c>
      <c r="Y2" s="220"/>
      <c r="Z2" s="220"/>
      <c r="AA2" s="220"/>
      <c r="AB2" s="220"/>
      <c r="AC2" s="220" t="s">
        <v>91</v>
      </c>
      <c r="AD2" s="220"/>
      <c r="AE2" s="220"/>
      <c r="AF2" s="220" t="s">
        <v>92</v>
      </c>
      <c r="AG2" s="220"/>
      <c r="AH2" s="220"/>
      <c r="AI2" s="220"/>
      <c r="AJ2" s="220"/>
      <c r="AK2" s="220" t="s">
        <v>93</v>
      </c>
      <c r="AL2" s="220"/>
      <c r="AM2" s="220"/>
      <c r="AN2" s="220"/>
      <c r="AO2" s="220"/>
    </row>
    <row r="3" spans="1:41" ht="12.75" customHeight="1">
      <c r="A3" s="73"/>
      <c r="B3" s="34" t="s">
        <v>26</v>
      </c>
      <c r="C3" s="35" t="s">
        <v>1</v>
      </c>
      <c r="D3" s="35" t="s">
        <v>2</v>
      </c>
      <c r="E3" s="35" t="s">
        <v>6</v>
      </c>
      <c r="F3" s="35" t="s">
        <v>18</v>
      </c>
      <c r="G3" s="35" t="s">
        <v>17</v>
      </c>
      <c r="H3" s="35" t="s">
        <v>42</v>
      </c>
      <c r="I3" s="35" t="s">
        <v>14</v>
      </c>
      <c r="J3" s="35" t="s">
        <v>9</v>
      </c>
      <c r="K3" s="35" t="s">
        <v>10</v>
      </c>
      <c r="L3" s="35" t="s">
        <v>11</v>
      </c>
      <c r="M3" s="35" t="s">
        <v>12</v>
      </c>
      <c r="N3" s="35" t="s">
        <v>13</v>
      </c>
      <c r="O3" s="35" t="s">
        <v>187</v>
      </c>
      <c r="P3" s="107" t="s">
        <v>32</v>
      </c>
      <c r="Q3" s="108" t="s">
        <v>20</v>
      </c>
      <c r="R3" s="108" t="s">
        <v>70</v>
      </c>
      <c r="S3" s="108" t="s">
        <v>74</v>
      </c>
      <c r="T3" s="108" t="s">
        <v>75</v>
      </c>
      <c r="U3" s="108" t="s">
        <v>76</v>
      </c>
      <c r="V3" s="108" t="s">
        <v>73</v>
      </c>
      <c r="W3" s="108" t="s">
        <v>77</v>
      </c>
      <c r="X3" s="108" t="s">
        <v>78</v>
      </c>
      <c r="Y3" s="108" t="s">
        <v>79</v>
      </c>
      <c r="Z3" s="108" t="s">
        <v>80</v>
      </c>
      <c r="AA3" s="108" t="s">
        <v>81</v>
      </c>
      <c r="AB3" s="108" t="s">
        <v>82</v>
      </c>
      <c r="AC3" s="107" t="s">
        <v>83</v>
      </c>
      <c r="AD3" s="108" t="s">
        <v>84</v>
      </c>
      <c r="AE3" s="108" t="s">
        <v>85</v>
      </c>
      <c r="AF3" s="108" t="s">
        <v>86</v>
      </c>
      <c r="AG3" s="108" t="s">
        <v>87</v>
      </c>
      <c r="AH3" s="108" t="s">
        <v>88</v>
      </c>
      <c r="AI3" s="108" t="s">
        <v>89</v>
      </c>
      <c r="AJ3" s="108" t="s">
        <v>90</v>
      </c>
      <c r="AK3" s="108" t="s">
        <v>45</v>
      </c>
      <c r="AL3" s="108" t="s">
        <v>46</v>
      </c>
      <c r="AM3" s="108" t="s">
        <v>47</v>
      </c>
      <c r="AN3" s="108" t="s">
        <v>48</v>
      </c>
      <c r="AO3" s="108" t="s">
        <v>49</v>
      </c>
    </row>
    <row r="4" spans="1:41" ht="12.75" customHeight="1">
      <c r="A4" s="73"/>
      <c r="B4" s="37" t="s">
        <v>27</v>
      </c>
      <c r="C4" s="37">
        <v>1</v>
      </c>
      <c r="D4" s="37" t="s">
        <v>55</v>
      </c>
      <c r="E4" s="37">
        <v>15</v>
      </c>
      <c r="F4" s="37">
        <v>15</v>
      </c>
      <c r="G4" s="71" t="s">
        <v>24</v>
      </c>
      <c r="H4" s="44" t="s">
        <v>52</v>
      </c>
      <c r="I4" s="37" t="s">
        <v>63</v>
      </c>
      <c r="J4" s="37" t="s">
        <v>8</v>
      </c>
      <c r="K4" s="37" t="s">
        <v>8</v>
      </c>
      <c r="L4" s="37" t="s">
        <v>8</v>
      </c>
      <c r="M4" s="37" t="s">
        <v>8</v>
      </c>
      <c r="N4" s="37" t="s">
        <v>8</v>
      </c>
      <c r="O4" s="38"/>
      <c r="P4" s="109" t="str">
        <f t="shared" ref="P4:Q21" si="0">IF($I4=P$3,IF($F4&gt;14,$F4/100,$F4),"")</f>
        <v/>
      </c>
      <c r="Q4" s="109" t="str">
        <f t="shared" si="0"/>
        <v/>
      </c>
      <c r="R4" s="109" t="str">
        <f t="shared" ref="R4:R37" si="1">IF($I4=R$3,$F4,"")</f>
        <v/>
      </c>
      <c r="S4" s="109" t="str">
        <f>IF(J4="AM",IF($F4&gt;14,$F4/100,$F4),"")</f>
        <v/>
      </c>
      <c r="T4" s="109" t="str">
        <f t="shared" ref="T4:W4" si="2">IF(K4="AM",IF($F4&gt;14,$F4/100,$F4),"")</f>
        <v/>
      </c>
      <c r="U4" s="109" t="str">
        <f t="shared" si="2"/>
        <v/>
      </c>
      <c r="V4" s="109" t="str">
        <f t="shared" si="2"/>
        <v/>
      </c>
      <c r="W4" s="109" t="str">
        <f t="shared" si="2"/>
        <v/>
      </c>
      <c r="X4" s="109">
        <f t="shared" ref="X4" si="3">IF(J4="PM",IF($F4&gt;14,$F4/100,$F4),"")</f>
        <v>0.15</v>
      </c>
      <c r="Y4" s="109">
        <f t="shared" ref="Y4" si="4">IF(K4="PM",IF($F4&gt;14,$F4/100,$F4),"")</f>
        <v>0.15</v>
      </c>
      <c r="Z4" s="109">
        <f t="shared" ref="Z4" si="5">IF(L4="PM",IF($F4&gt;14,$F4/100,$F4),"")</f>
        <v>0.15</v>
      </c>
      <c r="AA4" s="109">
        <f t="shared" ref="AA4" si="6">IF(M4="PM",IF($F4&gt;14,$F4/100,$F4),"")</f>
        <v>0.15</v>
      </c>
      <c r="AB4" s="109">
        <f t="shared" ref="AB4" si="7">IF(N4="PM",IF($F4&gt;14,$F4/100,$F4),"")</f>
        <v>0.15</v>
      </c>
      <c r="AC4" s="109" t="str">
        <f>IF(P4="","",_xlfn.RANK.EQ(P4,P$4:P$41,1)+COUNTIF(P4:P$41,P4)-1)</f>
        <v/>
      </c>
      <c r="AD4" s="109" t="str">
        <f>IF(Q4="","",_xlfn.RANK.EQ(Q4,Q$4:Q$41,1)+COUNTIF(Q4:Q$41,Q4)-1)</f>
        <v/>
      </c>
      <c r="AE4" s="109" t="str">
        <f>IF(R4="","",_xlfn.RANK.EQ(R4,R$4:R$41,1)+COUNTIF(R4:R$41,R4)-1)</f>
        <v/>
      </c>
      <c r="AF4" s="109" t="str">
        <f>IF(S4="","",_xlfn.RANK.EQ(S4,S$4:S$39,1)+COUNTIF(S4:S$39,S4)-1)</f>
        <v/>
      </c>
      <c r="AG4" s="109" t="str">
        <f>IF(T4="","",_xlfn.RANK.EQ(T4,T$4:T$39,1)+COUNTIF(T4:T$39,T4)-1)</f>
        <v/>
      </c>
      <c r="AH4" s="109" t="str">
        <f>IF(U4="","",_xlfn.RANK.EQ(U4,U$4:U$39,1)+COUNTIF(U4:U$39,U4)-1)</f>
        <v/>
      </c>
      <c r="AI4" s="109" t="str">
        <f>IF(V4="","",_xlfn.RANK.EQ(V4,V$4:V$39,1)+COUNTIF(V4:V$39,V4)-1)</f>
        <v/>
      </c>
      <c r="AJ4" s="109" t="str">
        <f>IF(W4="","",_xlfn.RANK.EQ(W4,W$4:W$39,1)+COUNTIF(W4:W$39,W4)-1)</f>
        <v/>
      </c>
      <c r="AK4" s="109">
        <f>IF(X4="","",_xlfn.RANK.EQ(X4,X$4:X$41,1)+COUNTIF(X4:X$41,X4)-1)</f>
        <v>2</v>
      </c>
      <c r="AL4" s="109">
        <f>IF(Y4="","",_xlfn.RANK.EQ(Y4,Y$4:Y$41,1)+COUNTIF(Y4:Y$41,Y4)-1)</f>
        <v>2</v>
      </c>
      <c r="AM4" s="109">
        <f>IF(Z4="","",_xlfn.RANK.EQ(Z4,Z$4:Z$41,1)+COUNTIF(Z4:Z$41,Z4)-1)</f>
        <v>2</v>
      </c>
      <c r="AN4" s="109">
        <f>IF(AA4="","",_xlfn.RANK.EQ(AA4,AA$4:AA$41,1)+COUNTIF(AA4:AA$41,AA4)-1)</f>
        <v>2</v>
      </c>
      <c r="AO4" s="109">
        <f>IF(AB4="","",_xlfn.RANK.EQ(AB4,AB$4:AB$41,1)+COUNTIF(AB4:AB$41,AB4)-1)</f>
        <v>2</v>
      </c>
    </row>
    <row r="5" spans="1:41" ht="12.75" customHeight="1">
      <c r="A5" s="73"/>
      <c r="B5" s="37" t="s">
        <v>27</v>
      </c>
      <c r="C5" s="37">
        <v>1</v>
      </c>
      <c r="D5" s="37" t="s">
        <v>55</v>
      </c>
      <c r="E5" s="37">
        <v>15</v>
      </c>
      <c r="F5" s="37">
        <v>15</v>
      </c>
      <c r="G5" s="38" t="s">
        <v>68</v>
      </c>
      <c r="H5" s="37" t="s">
        <v>52</v>
      </c>
      <c r="I5" s="37" t="s">
        <v>130</v>
      </c>
      <c r="J5" s="37"/>
      <c r="K5" s="37" t="s">
        <v>65</v>
      </c>
      <c r="L5" s="37"/>
      <c r="M5" s="37" t="s">
        <v>65</v>
      </c>
      <c r="N5" s="37"/>
      <c r="O5" s="38"/>
      <c r="P5" s="109" t="str">
        <f t="shared" si="0"/>
        <v/>
      </c>
      <c r="Q5" s="109" t="str">
        <f t="shared" si="0"/>
        <v/>
      </c>
      <c r="R5" s="109" t="str">
        <f t="shared" si="1"/>
        <v/>
      </c>
      <c r="S5" s="109" t="str">
        <f t="shared" ref="S5:S9" si="8">IF(J5="AM",IF($F5&gt;14,$F5/100,$F5),"")</f>
        <v/>
      </c>
      <c r="T5" s="109">
        <f t="shared" ref="T5:T9" si="9">IF(K5="AM",IF($F5&gt;14,$F5/100,$F5),"")</f>
        <v>0.15</v>
      </c>
      <c r="U5" s="109" t="str">
        <f t="shared" ref="U5:U9" si="10">IF(L5="AM",IF($F5&gt;14,$F5/100,$F5),"")</f>
        <v/>
      </c>
      <c r="V5" s="109">
        <f t="shared" ref="V5:V9" si="11">IF(M5="AM",IF($F5&gt;14,$F5/100,$F5),"")</f>
        <v>0.15</v>
      </c>
      <c r="W5" s="109" t="str">
        <f t="shared" ref="W5:W9" si="12">IF(N5="AM",IF($F5&gt;14,$F5/100,$F5),"")</f>
        <v/>
      </c>
      <c r="X5" s="109" t="str">
        <f t="shared" ref="X5:X39" si="13">IF(J5="PM",IF($F5&gt;14,$F5/100,$F5),"")</f>
        <v/>
      </c>
      <c r="Y5" s="109" t="str">
        <f t="shared" ref="Y5:Y39" si="14">IF(K5="PM",IF($F5&gt;14,$F5/100,$F5),"")</f>
        <v/>
      </c>
      <c r="Z5" s="109" t="str">
        <f t="shared" ref="Z5:Z39" si="15">IF(L5="PM",IF($F5&gt;14,$F5/100,$F5),"")</f>
        <v/>
      </c>
      <c r="AA5" s="109" t="str">
        <f t="shared" ref="AA5:AA39" si="16">IF(M5="PM",IF($F5&gt;14,$F5/100,$F5),"")</f>
        <v/>
      </c>
      <c r="AB5" s="109" t="str">
        <f t="shared" ref="AB5:AB39" si="17">IF(N5="PM",IF($F5&gt;14,$F5/100,$F5),"")</f>
        <v/>
      </c>
      <c r="AC5" s="109" t="str">
        <f>IF(P5="","",_xlfn.RANK.EQ(P5,P$4:P$41,1)+COUNTIF(P5:P$41,P5)-1)</f>
        <v/>
      </c>
      <c r="AD5" s="109" t="str">
        <f>IF(Q5="","",_xlfn.RANK.EQ(Q5,Q$4:Q$41,1)+COUNTIF(Q5:Q$41,Q5)-1)</f>
        <v/>
      </c>
      <c r="AE5" s="109" t="str">
        <f>IF(R5="","",_xlfn.RANK.EQ(R5,R$4:R$41,1)+COUNTIF(R5:R$41,R5)-1)</f>
        <v/>
      </c>
      <c r="AF5" s="109" t="str">
        <f>IF(S5="","",_xlfn.RANK.EQ(S5,S$4:S$39,1)+COUNTIF(S5:S$39,S5)-1)</f>
        <v/>
      </c>
      <c r="AG5" s="109">
        <f>IF(T5="","",_xlfn.RANK.EQ(T5,T$4:T$39,1)+COUNTIF(T5:T$39,T5)-1)</f>
        <v>2</v>
      </c>
      <c r="AH5" s="109" t="str">
        <f>IF(U5="","",_xlfn.RANK.EQ(U5,U$4:U$39,1)+COUNTIF(U5:U$39,U5)-1)</f>
        <v/>
      </c>
      <c r="AI5" s="109">
        <f>IF(V5="","",_xlfn.RANK.EQ(V5,V$4:V$39,1)+COUNTIF(V5:V$39,V5)-1)</f>
        <v>2</v>
      </c>
      <c r="AJ5" s="109" t="str">
        <f>IF(W5="","",_xlfn.RANK.EQ(W5,W$4:W$39,1)+COUNTIF(W5:W$39,W5)-1)</f>
        <v/>
      </c>
      <c r="AK5" s="109" t="str">
        <f>IF(X5="","",_xlfn.RANK.EQ(X5,X$4:X$41,1)+COUNTIF(X5:X$41,X5)-1)</f>
        <v/>
      </c>
      <c r="AL5" s="109" t="str">
        <f>IF(Y5="","",_xlfn.RANK.EQ(Y5,Y$4:Y$41,1)+COUNTIF(Y5:Y$41,Y5)-1)</f>
        <v/>
      </c>
      <c r="AM5" s="109" t="str">
        <f>IF(Z5="","",_xlfn.RANK.EQ(Z5,Z$4:Z$41,1)+COUNTIF(Z5:Z$41,Z5)-1)</f>
        <v/>
      </c>
      <c r="AN5" s="109" t="str">
        <f>IF(AA5="","",_xlfn.RANK.EQ(AA5,AA$4:AA$41,1)+COUNTIF(AA5:AA$41,AA5)-1)</f>
        <v/>
      </c>
      <c r="AO5" s="109" t="str">
        <f>IF(AB5="","",_xlfn.RANK.EQ(AB5,AB$4:AB$41,1)+COUNTIF(AB5:AB$41,AB5)-1)</f>
        <v/>
      </c>
    </row>
    <row r="6" spans="1:41" ht="12.75" customHeight="1">
      <c r="A6" s="73"/>
      <c r="B6" s="37" t="s">
        <v>54</v>
      </c>
      <c r="C6" s="37">
        <v>1</v>
      </c>
      <c r="D6" s="37" t="s">
        <v>55</v>
      </c>
      <c r="E6" s="37">
        <v>15</v>
      </c>
      <c r="F6" s="37">
        <v>15</v>
      </c>
      <c r="G6" s="38" t="s">
        <v>23</v>
      </c>
      <c r="H6" s="37" t="s">
        <v>52</v>
      </c>
      <c r="I6" s="37" t="s">
        <v>148</v>
      </c>
      <c r="J6" s="37" t="s">
        <v>65</v>
      </c>
      <c r="K6" s="37"/>
      <c r="L6" s="37" t="s">
        <v>65</v>
      </c>
      <c r="M6" s="37"/>
      <c r="N6" s="37"/>
      <c r="O6" s="38"/>
      <c r="P6" s="109" t="str">
        <f t="shared" si="0"/>
        <v/>
      </c>
      <c r="Q6" s="109" t="str">
        <f t="shared" si="0"/>
        <v/>
      </c>
      <c r="R6" s="109" t="str">
        <f t="shared" si="1"/>
        <v/>
      </c>
      <c r="S6" s="109">
        <f t="shared" si="8"/>
        <v>0.15</v>
      </c>
      <c r="T6" s="109" t="str">
        <f t="shared" si="9"/>
        <v/>
      </c>
      <c r="U6" s="109">
        <f t="shared" si="10"/>
        <v>0.15</v>
      </c>
      <c r="V6" s="109" t="str">
        <f t="shared" si="11"/>
        <v/>
      </c>
      <c r="W6" s="109" t="str">
        <f t="shared" si="12"/>
        <v/>
      </c>
      <c r="X6" s="109" t="str">
        <f t="shared" si="13"/>
        <v/>
      </c>
      <c r="Y6" s="109" t="str">
        <f t="shared" si="14"/>
        <v/>
      </c>
      <c r="Z6" s="109" t="str">
        <f t="shared" si="15"/>
        <v/>
      </c>
      <c r="AA6" s="109" t="str">
        <f t="shared" si="16"/>
        <v/>
      </c>
      <c r="AB6" s="109" t="str">
        <f t="shared" si="17"/>
        <v/>
      </c>
      <c r="AC6" s="109" t="str">
        <f>IF(P6="","",_xlfn.RANK.EQ(P6,P$4:P$41,1)+COUNTIF(P6:P$41,P6)-1)</f>
        <v/>
      </c>
      <c r="AD6" s="109" t="str">
        <f>IF(Q6="","",_xlfn.RANK.EQ(Q6,Q$4:Q$41,1)+COUNTIF(Q6:Q$41,Q6)-1)</f>
        <v/>
      </c>
      <c r="AE6" s="109" t="str">
        <f>IF(R6="","",_xlfn.RANK.EQ(R6,R$4:R$41,1)+COUNTIF(R6:R$41,R6)-1)</f>
        <v/>
      </c>
      <c r="AF6" s="109">
        <f>IF(S6="","",_xlfn.RANK.EQ(S6,S$4:S$39,1)+COUNTIF(S6:S$39,S6)-1)</f>
        <v>2</v>
      </c>
      <c r="AG6" s="109" t="str">
        <f>IF(T6="","",_xlfn.RANK.EQ(T6,T$4:T$39,1)+COUNTIF(T6:T$39,T6)-1)</f>
        <v/>
      </c>
      <c r="AH6" s="109">
        <f>IF(U6="","",_xlfn.RANK.EQ(U6,U$4:U$39,1)+COUNTIF(U6:U$39,U6)-1)</f>
        <v>2</v>
      </c>
      <c r="AI6" s="109" t="str">
        <f>IF(V6="","",_xlfn.RANK.EQ(V6,V$4:V$39,1)+COUNTIF(V6:V$39,V6)-1)</f>
        <v/>
      </c>
      <c r="AJ6" s="109" t="str">
        <f>IF(W6="","",_xlfn.RANK.EQ(W6,W$4:W$39,1)+COUNTIF(W6:W$39,W6)-1)</f>
        <v/>
      </c>
      <c r="AK6" s="109" t="str">
        <f>IF(X6="","",_xlfn.RANK.EQ(X6,X$4:X$41,1)+COUNTIF(X6:X$41,X6)-1)</f>
        <v/>
      </c>
      <c r="AL6" s="109" t="str">
        <f>IF(Y6="","",_xlfn.RANK.EQ(Y6,Y$4:Y$41,1)+COUNTIF(Y6:Y$41,Y6)-1)</f>
        <v/>
      </c>
      <c r="AM6" s="109" t="str">
        <f>IF(Z6="","",_xlfn.RANK.EQ(Z6,Z$4:Z$41,1)+COUNTIF(Z6:Z$41,Z6)-1)</f>
        <v/>
      </c>
      <c r="AN6" s="109" t="str">
        <f>IF(AA6="","",_xlfn.RANK.EQ(AA6,AA$4:AA$41,1)+COUNTIF(AA6:AA$41,AA6)-1)</f>
        <v/>
      </c>
      <c r="AO6" s="109" t="str">
        <f>IF(AB6="","",_xlfn.RANK.EQ(AB6,AB$4:AB$41,1)+COUNTIF(AB6:AB$41,AB6)-1)</f>
        <v/>
      </c>
    </row>
    <row r="7" spans="1:41" ht="12.75" customHeight="1">
      <c r="A7" s="73"/>
      <c r="B7" s="37" t="s">
        <v>54</v>
      </c>
      <c r="C7" s="37">
        <v>4</v>
      </c>
      <c r="D7" s="37" t="s">
        <v>55</v>
      </c>
      <c r="E7" s="37">
        <v>16</v>
      </c>
      <c r="F7" s="37">
        <v>21</v>
      </c>
      <c r="G7" s="167" t="s">
        <v>133</v>
      </c>
      <c r="H7" s="37" t="s">
        <v>52</v>
      </c>
      <c r="I7" s="37" t="s">
        <v>63</v>
      </c>
      <c r="J7" s="37" t="s">
        <v>8</v>
      </c>
      <c r="K7" s="37" t="s">
        <v>8</v>
      </c>
      <c r="L7" s="37" t="s">
        <v>8</v>
      </c>
      <c r="M7" s="37" t="s">
        <v>8</v>
      </c>
      <c r="N7" s="37" t="s">
        <v>8</v>
      </c>
      <c r="O7" s="38"/>
      <c r="P7" s="109" t="str">
        <f t="shared" si="0"/>
        <v/>
      </c>
      <c r="Q7" s="109" t="str">
        <f t="shared" si="0"/>
        <v/>
      </c>
      <c r="R7" s="109" t="str">
        <f t="shared" si="1"/>
        <v/>
      </c>
      <c r="S7" s="109" t="str">
        <f t="shared" si="8"/>
        <v/>
      </c>
      <c r="T7" s="109" t="str">
        <f t="shared" si="9"/>
        <v/>
      </c>
      <c r="U7" s="109" t="str">
        <f t="shared" si="10"/>
        <v/>
      </c>
      <c r="V7" s="109" t="str">
        <f t="shared" si="11"/>
        <v/>
      </c>
      <c r="W7" s="109" t="str">
        <f t="shared" si="12"/>
        <v/>
      </c>
      <c r="X7" s="109">
        <f t="shared" si="13"/>
        <v>0.21</v>
      </c>
      <c r="Y7" s="109">
        <f t="shared" si="14"/>
        <v>0.21</v>
      </c>
      <c r="Z7" s="109">
        <f t="shared" si="15"/>
        <v>0.21</v>
      </c>
      <c r="AA7" s="109">
        <f t="shared" si="16"/>
        <v>0.21</v>
      </c>
      <c r="AB7" s="109">
        <f t="shared" si="17"/>
        <v>0.21</v>
      </c>
      <c r="AC7" s="109" t="str">
        <f>IF(P7="","",_xlfn.RANK.EQ(P7,P$4:P$41,1)+COUNTIF(P7:P$41,P7)-1)</f>
        <v/>
      </c>
      <c r="AD7" s="109" t="str">
        <f>IF(Q7="","",_xlfn.RANK.EQ(Q7,Q$4:Q$41,1)+COUNTIF(Q7:Q$41,Q7)-1)</f>
        <v/>
      </c>
      <c r="AE7" s="109" t="str">
        <f>IF(R7="","",_xlfn.RANK.EQ(R7,R$4:R$41,1)+COUNTIF(R7:R$41,R7)-1)</f>
        <v/>
      </c>
      <c r="AF7" s="109" t="str">
        <f>IF(S7="","",_xlfn.RANK.EQ(S7,S$4:S$39,1)+COUNTIF(S7:S$39,S7)-1)</f>
        <v/>
      </c>
      <c r="AG7" s="109" t="str">
        <f>IF(T7="","",_xlfn.RANK.EQ(T7,T$4:T$39,1)+COUNTIF(T7:T$39,T7)-1)</f>
        <v/>
      </c>
      <c r="AH7" s="109" t="str">
        <f>IF(U7="","",_xlfn.RANK.EQ(U7,U$4:U$39,1)+COUNTIF(U7:U$39,U7)-1)</f>
        <v/>
      </c>
      <c r="AI7" s="109" t="str">
        <f>IF(V7="","",_xlfn.RANK.EQ(V7,V$4:V$39,1)+COUNTIF(V7:V$39,V7)-1)</f>
        <v/>
      </c>
      <c r="AJ7" s="109" t="str">
        <f>IF(W7="","",_xlfn.RANK.EQ(W7,W$4:W$39,1)+COUNTIF(W7:W$39,W7)-1)</f>
        <v/>
      </c>
      <c r="AK7" s="109">
        <f>IF(X7="","",_xlfn.RANK.EQ(X7,X$4:X$41,1)+COUNTIF(X7:X$41,X7)-1)</f>
        <v>14</v>
      </c>
      <c r="AL7" s="109">
        <f>IF(Y7="","",_xlfn.RANK.EQ(Y7,Y$4:Y$41,1)+COUNTIF(Y7:Y$41,Y7)-1)</f>
        <v>12</v>
      </c>
      <c r="AM7" s="109">
        <f>IF(Z7="","",_xlfn.RANK.EQ(Z7,Z$4:Z$41,1)+COUNTIF(Z7:Z$41,Z7)-1)</f>
        <v>13</v>
      </c>
      <c r="AN7" s="109">
        <f>IF(AA7="","",_xlfn.RANK.EQ(AA7,AA$4:AA$41,1)+COUNTIF(AA7:AA$41,AA7)-1)</f>
        <v>12</v>
      </c>
      <c r="AO7" s="109">
        <f>IF(AB7="","",_xlfn.RANK.EQ(AB7,AB$4:AB$41,1)+COUNTIF(AB7:AB$41,AB7)-1)</f>
        <v>14</v>
      </c>
    </row>
    <row r="8" spans="1:41" ht="12.75" customHeight="1">
      <c r="A8" s="73"/>
      <c r="B8" s="37" t="s">
        <v>27</v>
      </c>
      <c r="C8" s="37">
        <v>4</v>
      </c>
      <c r="D8" s="37" t="s">
        <v>55</v>
      </c>
      <c r="E8" s="37">
        <v>16</v>
      </c>
      <c r="F8" s="37">
        <v>16</v>
      </c>
      <c r="G8" s="162" t="s">
        <v>140</v>
      </c>
      <c r="H8" s="37" t="s">
        <v>44</v>
      </c>
      <c r="I8" s="37" t="s">
        <v>20</v>
      </c>
      <c r="J8" s="37" t="s">
        <v>7</v>
      </c>
      <c r="K8" s="37" t="s">
        <v>7</v>
      </c>
      <c r="L8" s="37" t="s">
        <v>7</v>
      </c>
      <c r="M8" s="37" t="s">
        <v>7</v>
      </c>
      <c r="N8" s="37" t="s">
        <v>7</v>
      </c>
      <c r="O8" s="38"/>
      <c r="P8" s="109" t="str">
        <f t="shared" si="0"/>
        <v/>
      </c>
      <c r="Q8" s="109">
        <f t="shared" si="0"/>
        <v>0.16</v>
      </c>
      <c r="R8" s="109" t="str">
        <f t="shared" si="1"/>
        <v/>
      </c>
      <c r="S8" s="109" t="str">
        <f t="shared" si="8"/>
        <v/>
      </c>
      <c r="T8" s="109" t="str">
        <f t="shared" si="9"/>
        <v/>
      </c>
      <c r="U8" s="109" t="str">
        <f t="shared" si="10"/>
        <v/>
      </c>
      <c r="V8" s="109" t="str">
        <f t="shared" si="11"/>
        <v/>
      </c>
      <c r="W8" s="109" t="str">
        <f t="shared" si="12"/>
        <v/>
      </c>
      <c r="X8" s="109" t="str">
        <f t="shared" si="13"/>
        <v/>
      </c>
      <c r="Y8" s="109" t="str">
        <f t="shared" si="14"/>
        <v/>
      </c>
      <c r="Z8" s="109" t="str">
        <f t="shared" si="15"/>
        <v/>
      </c>
      <c r="AA8" s="109" t="str">
        <f t="shared" si="16"/>
        <v/>
      </c>
      <c r="AB8" s="109" t="str">
        <f t="shared" si="17"/>
        <v/>
      </c>
      <c r="AC8" s="109" t="str">
        <f>IF(P8="","",_xlfn.RANK.EQ(P8,P$4:P$41,1)+COUNTIF(P8:P$41,P8)-1)</f>
        <v/>
      </c>
      <c r="AD8" s="109">
        <f>IF(Q8="","",_xlfn.RANK.EQ(Q8,Q$4:Q$41,1)+COUNTIF(Q8:Q$41,Q8)-1)</f>
        <v>2</v>
      </c>
      <c r="AE8" s="109" t="str">
        <f>IF(R8="","",_xlfn.RANK.EQ(R8,R$4:R$41,1)+COUNTIF(R8:R$41,R8)-1)</f>
        <v/>
      </c>
      <c r="AF8" s="109" t="str">
        <f>IF(S8="","",_xlfn.RANK.EQ(S8,S$4:S$39,1)+COUNTIF(S8:S$39,S8)-1)</f>
        <v/>
      </c>
      <c r="AG8" s="109" t="str">
        <f>IF(T8="","",_xlfn.RANK.EQ(T8,T$4:T$39,1)+COUNTIF(T8:T$39,T8)-1)</f>
        <v/>
      </c>
      <c r="AH8" s="109" t="str">
        <f>IF(U8="","",_xlfn.RANK.EQ(U8,U$4:U$39,1)+COUNTIF(U8:U$39,U8)-1)</f>
        <v/>
      </c>
      <c r="AI8" s="109" t="str">
        <f>IF(V8="","",_xlfn.RANK.EQ(V8,V$4:V$39,1)+COUNTIF(V8:V$39,V8)-1)</f>
        <v/>
      </c>
      <c r="AJ8" s="109" t="str">
        <f>IF(W8="","",_xlfn.RANK.EQ(W8,W$4:W$39,1)+COUNTIF(W8:W$39,W8)-1)</f>
        <v/>
      </c>
      <c r="AK8" s="109" t="str">
        <f>IF(X8="","",_xlfn.RANK.EQ(X8,X$4:X$41,1)+COUNTIF(X8:X$41,X8)-1)</f>
        <v/>
      </c>
      <c r="AL8" s="109" t="str">
        <f>IF(Y8="","",_xlfn.RANK.EQ(Y8,Y$4:Y$41,1)+COUNTIF(Y8:Y$41,Y8)-1)</f>
        <v/>
      </c>
      <c r="AM8" s="109" t="str">
        <f>IF(Z8="","",_xlfn.RANK.EQ(Z8,Z$4:Z$41,1)+COUNTIF(Z8:Z$41,Z8)-1)</f>
        <v/>
      </c>
      <c r="AN8" s="109" t="str">
        <f>IF(AA8="","",_xlfn.RANK.EQ(AA8,AA$4:AA$41,1)+COUNTIF(AA8:AA$41,AA8)-1)</f>
        <v/>
      </c>
      <c r="AO8" s="109" t="str">
        <f>IF(AB8="","",_xlfn.RANK.EQ(AB8,AB$4:AB$41,1)+COUNTIF(AB8:AB$41,AB8)-1)</f>
        <v/>
      </c>
    </row>
    <row r="9" spans="1:41" ht="12.75" customHeight="1">
      <c r="A9" s="73"/>
      <c r="B9" s="37" t="s">
        <v>27</v>
      </c>
      <c r="C9" s="37">
        <v>4</v>
      </c>
      <c r="D9" s="37" t="s">
        <v>55</v>
      </c>
      <c r="E9" s="37">
        <v>16</v>
      </c>
      <c r="F9" s="37">
        <v>16</v>
      </c>
      <c r="G9" s="162" t="s">
        <v>140</v>
      </c>
      <c r="H9" s="37" t="s">
        <v>44</v>
      </c>
      <c r="I9" s="37" t="s">
        <v>63</v>
      </c>
      <c r="J9" s="37" t="s">
        <v>65</v>
      </c>
      <c r="K9" s="37" t="s">
        <v>65</v>
      </c>
      <c r="L9" s="37" t="s">
        <v>65</v>
      </c>
      <c r="M9" s="37" t="s">
        <v>65</v>
      </c>
      <c r="N9" s="37" t="s">
        <v>65</v>
      </c>
      <c r="O9" s="38"/>
      <c r="P9" s="109" t="str">
        <f t="shared" si="0"/>
        <v/>
      </c>
      <c r="Q9" s="109" t="str">
        <f t="shared" si="0"/>
        <v/>
      </c>
      <c r="R9" s="109" t="str">
        <f t="shared" si="1"/>
        <v/>
      </c>
      <c r="S9" s="109">
        <f t="shared" si="8"/>
        <v>0.16</v>
      </c>
      <c r="T9" s="109">
        <f t="shared" si="9"/>
        <v>0.16</v>
      </c>
      <c r="U9" s="109">
        <f t="shared" si="10"/>
        <v>0.16</v>
      </c>
      <c r="V9" s="109">
        <f t="shared" si="11"/>
        <v>0.16</v>
      </c>
      <c r="W9" s="109">
        <f t="shared" si="12"/>
        <v>0.16</v>
      </c>
      <c r="X9" s="109" t="str">
        <f t="shared" si="13"/>
        <v/>
      </c>
      <c r="Y9" s="109" t="str">
        <f t="shared" si="14"/>
        <v/>
      </c>
      <c r="Z9" s="109" t="str">
        <f t="shared" si="15"/>
        <v/>
      </c>
      <c r="AA9" s="109" t="str">
        <f t="shared" si="16"/>
        <v/>
      </c>
      <c r="AB9" s="109" t="str">
        <f t="shared" si="17"/>
        <v/>
      </c>
      <c r="AC9" s="109" t="str">
        <f>IF(P9="","",_xlfn.RANK.EQ(P9,P$4:P$41,1)+COUNTIF(P9:P$41,P9)-1)</f>
        <v/>
      </c>
      <c r="AD9" s="109" t="str">
        <f>IF(Q9="","",_xlfn.RANK.EQ(Q9,Q$4:Q$41,1)+COUNTIF(Q9:Q$41,Q9)-1)</f>
        <v/>
      </c>
      <c r="AE9" s="109" t="str">
        <f>IF(R9="","",_xlfn.RANK.EQ(R9,R$4:R$41,1)+COUNTIF(R9:R$41,R9)-1)</f>
        <v/>
      </c>
      <c r="AF9" s="109">
        <f>IF(S9="","",_xlfn.RANK.EQ(S9,S$4:S$39,1)+COUNTIF(S9:S$39,S9)-1)</f>
        <v>4</v>
      </c>
      <c r="AG9" s="109">
        <f>IF(T9="","",_xlfn.RANK.EQ(T9,T$4:T$39,1)+COUNTIF(T9:T$39,T9)-1)</f>
        <v>4</v>
      </c>
      <c r="AH9" s="109">
        <f>IF(U9="","",_xlfn.RANK.EQ(U9,U$4:U$39,1)+COUNTIF(U9:U$39,U9)-1)</f>
        <v>4</v>
      </c>
      <c r="AI9" s="109">
        <f>IF(V9="","",_xlfn.RANK.EQ(V9,V$4:V$39,1)+COUNTIF(V9:V$39,V9)-1)</f>
        <v>4</v>
      </c>
      <c r="AJ9" s="109">
        <f>IF(W9="","",_xlfn.RANK.EQ(W9,W$4:W$39,1)+COUNTIF(W9:W$39,W9)-1)</f>
        <v>3</v>
      </c>
      <c r="AK9" s="109" t="str">
        <f>IF(X9="","",_xlfn.RANK.EQ(X9,X$4:X$41,1)+COUNTIF(X9:X$41,X9)-1)</f>
        <v/>
      </c>
      <c r="AL9" s="109" t="str">
        <f>IF(Y9="","",_xlfn.RANK.EQ(Y9,Y$4:Y$41,1)+COUNTIF(Y9:Y$41,Y9)-1)</f>
        <v/>
      </c>
      <c r="AM9" s="109" t="str">
        <f>IF(Z9="","",_xlfn.RANK.EQ(Z9,Z$4:Z$41,1)+COUNTIF(Z9:Z$41,Z9)-1)</f>
        <v/>
      </c>
      <c r="AN9" s="109" t="str">
        <f>IF(AA9="","",_xlfn.RANK.EQ(AA9,AA$4:AA$41,1)+COUNTIF(AA9:AA$41,AA9)-1)</f>
        <v/>
      </c>
      <c r="AO9" s="109" t="str">
        <f>IF(AB9="","",_xlfn.RANK.EQ(AB9,AB$4:AB$41,1)+COUNTIF(AB9:AB$41,AB9)-1)</f>
        <v/>
      </c>
    </row>
    <row r="10" spans="1:41" ht="12.75" customHeight="1">
      <c r="A10" s="73"/>
      <c r="B10" s="37" t="s">
        <v>27</v>
      </c>
      <c r="C10" s="37">
        <v>10</v>
      </c>
      <c r="D10" s="37" t="s">
        <v>55</v>
      </c>
      <c r="E10" s="37">
        <v>16</v>
      </c>
      <c r="F10" s="37">
        <v>16</v>
      </c>
      <c r="G10" s="43" t="s">
        <v>64</v>
      </c>
      <c r="H10" s="37" t="s">
        <v>52</v>
      </c>
      <c r="I10" s="37" t="s">
        <v>63</v>
      </c>
      <c r="J10" s="37" t="s">
        <v>8</v>
      </c>
      <c r="K10" s="37" t="s">
        <v>8</v>
      </c>
      <c r="L10" s="37" t="s">
        <v>8</v>
      </c>
      <c r="M10" s="37" t="s">
        <v>8</v>
      </c>
      <c r="N10" s="37" t="s">
        <v>8</v>
      </c>
      <c r="O10" s="38"/>
      <c r="P10" s="109" t="str">
        <f t="shared" si="0"/>
        <v/>
      </c>
      <c r="Q10" s="109" t="str">
        <f t="shared" si="0"/>
        <v/>
      </c>
      <c r="R10" s="109" t="str">
        <f t="shared" si="1"/>
        <v/>
      </c>
      <c r="S10" s="109" t="str">
        <f t="shared" ref="S10:S19" si="18">IF(J10="AM",IF($F10&gt;14,$F10/100,$F10),"")</f>
        <v/>
      </c>
      <c r="T10" s="109" t="str">
        <f t="shared" ref="T10:T25" si="19">IF(K10="AM",IF($F10&gt;14,$F10/100,$F10),"")</f>
        <v/>
      </c>
      <c r="U10" s="109" t="str">
        <f t="shared" ref="U10:U25" si="20">IF(L10="AM",IF($F10&gt;14,$F10/100,$F10),"")</f>
        <v/>
      </c>
      <c r="V10" s="109" t="str">
        <f t="shared" ref="V10:V25" si="21">IF(M10="AM",IF($F10&gt;14,$F10/100,$F10),"")</f>
        <v/>
      </c>
      <c r="W10" s="109" t="str">
        <f t="shared" ref="W10:W25" si="22">IF(N10="AM",IF($F10&gt;14,$F10/100,$F10),"")</f>
        <v/>
      </c>
      <c r="X10" s="109">
        <f t="shared" si="13"/>
        <v>0.16</v>
      </c>
      <c r="Y10" s="109">
        <f t="shared" si="14"/>
        <v>0.16</v>
      </c>
      <c r="Z10" s="109">
        <f t="shared" si="15"/>
        <v>0.16</v>
      </c>
      <c r="AA10" s="109">
        <f t="shared" si="16"/>
        <v>0.16</v>
      </c>
      <c r="AB10" s="109">
        <f t="shared" si="17"/>
        <v>0.16</v>
      </c>
      <c r="AC10" s="109" t="str">
        <f>IF(P10="","",_xlfn.RANK.EQ(P10,P$4:P$41,1)+COUNTIF(P10:P$41,P10)-1)</f>
        <v/>
      </c>
      <c r="AD10" s="109" t="str">
        <f>IF(Q10="","",_xlfn.RANK.EQ(Q10,Q$4:Q$41,1)+COUNTIF(Q10:Q$41,Q10)-1)</f>
        <v/>
      </c>
      <c r="AE10" s="109" t="str">
        <f>IF(R10="","",_xlfn.RANK.EQ(R10,R$4:R$41,1)+COUNTIF(R10:R$41,R10)-1)</f>
        <v/>
      </c>
      <c r="AF10" s="109" t="str">
        <f>IF(S10="","",_xlfn.RANK.EQ(S10,S$4:S$39,1)+COUNTIF(S10:S$39,S10)-1)</f>
        <v/>
      </c>
      <c r="AG10" s="109" t="str">
        <f>IF(T10="","",_xlfn.RANK.EQ(T10,T$4:T$39,1)+COUNTIF(T10:T$39,T10)-1)</f>
        <v/>
      </c>
      <c r="AH10" s="109" t="str">
        <f>IF(U10="","",_xlfn.RANK.EQ(U10,U$4:U$39,1)+COUNTIF(U10:U$39,U10)-1)</f>
        <v/>
      </c>
      <c r="AI10" s="109" t="str">
        <f>IF(V10="","",_xlfn.RANK.EQ(V10,V$4:V$39,1)+COUNTIF(V10:V$39,V10)-1)</f>
        <v/>
      </c>
      <c r="AJ10" s="109" t="str">
        <f>IF(W10="","",_xlfn.RANK.EQ(W10,W$4:W$39,1)+COUNTIF(W10:W$39,W10)-1)</f>
        <v/>
      </c>
      <c r="AK10" s="109">
        <f>IF(X10="","",_xlfn.RANK.EQ(X10,X$4:X$41,1)+COUNTIF(X10:X$41,X10)-1)</f>
        <v>5</v>
      </c>
      <c r="AL10" s="109">
        <f>IF(Y10="","",_xlfn.RANK.EQ(Y10,Y$4:Y$41,1)+COUNTIF(Y10:Y$41,Y10)-1)</f>
        <v>4</v>
      </c>
      <c r="AM10" s="109">
        <f>IF(Z10="","",_xlfn.RANK.EQ(Z10,Z$4:Z$41,1)+COUNTIF(Z10:Z$41,Z10)-1)</f>
        <v>5</v>
      </c>
      <c r="AN10" s="109">
        <f>IF(AA10="","",_xlfn.RANK.EQ(AA10,AA$4:AA$41,1)+COUNTIF(AA10:AA$41,AA10)-1)</f>
        <v>4</v>
      </c>
      <c r="AO10" s="109">
        <f>IF(AB10="","",_xlfn.RANK.EQ(AB10,AB$4:AB$41,1)+COUNTIF(AB10:AB$41,AB10)-1)</f>
        <v>5</v>
      </c>
    </row>
    <row r="11" spans="1:41" ht="12.75" customHeight="1">
      <c r="A11" s="73"/>
      <c r="B11" s="37" t="s">
        <v>27</v>
      </c>
      <c r="C11" s="37">
        <v>1</v>
      </c>
      <c r="D11" s="37" t="s">
        <v>19</v>
      </c>
      <c r="E11" s="37">
        <v>20</v>
      </c>
      <c r="F11" s="37">
        <v>20</v>
      </c>
      <c r="G11" s="43" t="s">
        <v>124</v>
      </c>
      <c r="H11" s="44" t="s">
        <v>67</v>
      </c>
      <c r="I11" s="37" t="s">
        <v>57</v>
      </c>
      <c r="J11" s="37" t="s">
        <v>43</v>
      </c>
      <c r="K11" s="37" t="s">
        <v>43</v>
      </c>
      <c r="L11" s="37" t="s">
        <v>43</v>
      </c>
      <c r="M11" s="37" t="s">
        <v>43</v>
      </c>
      <c r="N11" s="37" t="s">
        <v>43</v>
      </c>
      <c r="O11" s="38" t="s">
        <v>58</v>
      </c>
      <c r="P11" s="109">
        <f t="shared" si="0"/>
        <v>0.2</v>
      </c>
      <c r="Q11" s="109" t="str">
        <f t="shared" si="0"/>
        <v/>
      </c>
      <c r="R11" s="109" t="str">
        <f t="shared" si="1"/>
        <v/>
      </c>
      <c r="S11" s="109" t="str">
        <f t="shared" si="18"/>
        <v/>
      </c>
      <c r="T11" s="109" t="str">
        <f t="shared" si="19"/>
        <v/>
      </c>
      <c r="U11" s="109" t="str">
        <f t="shared" si="20"/>
        <v/>
      </c>
      <c r="V11" s="109" t="str">
        <f t="shared" si="21"/>
        <v/>
      </c>
      <c r="W11" s="109" t="str">
        <f t="shared" si="22"/>
        <v/>
      </c>
      <c r="X11" s="109" t="str">
        <f t="shared" si="13"/>
        <v/>
      </c>
      <c r="Y11" s="109" t="str">
        <f t="shared" si="14"/>
        <v/>
      </c>
      <c r="Z11" s="109" t="str">
        <f t="shared" si="15"/>
        <v/>
      </c>
      <c r="AA11" s="109" t="str">
        <f t="shared" si="16"/>
        <v/>
      </c>
      <c r="AB11" s="109" t="str">
        <f t="shared" si="17"/>
        <v/>
      </c>
      <c r="AC11" s="109">
        <f>IF(P11="","",_xlfn.RANK.EQ(P11,P$4:P$41,1)+COUNTIF(P11:P$41,P11)-1)</f>
        <v>2</v>
      </c>
      <c r="AD11" s="109" t="str">
        <f>IF(Q11="","",_xlfn.RANK.EQ(Q11,Q$4:Q$41,1)+COUNTIF(Q11:Q$41,Q11)-1)</f>
        <v/>
      </c>
      <c r="AE11" s="109" t="str">
        <f>IF(R11="","",_xlfn.RANK.EQ(R11,R$4:R$41,1)+COUNTIF(R11:R$41,R11)-1)</f>
        <v/>
      </c>
      <c r="AF11" s="109" t="str">
        <f>IF(S11="","",_xlfn.RANK.EQ(S11,S$4:S$39,1)+COUNTIF(S11:S$39,S11)-1)</f>
        <v/>
      </c>
      <c r="AG11" s="109" t="str">
        <f>IF(T11="","",_xlfn.RANK.EQ(T11,T$4:T$39,1)+COUNTIF(T11:T$39,T11)-1)</f>
        <v/>
      </c>
      <c r="AH11" s="109" t="str">
        <f>IF(U11="","",_xlfn.RANK.EQ(U11,U$4:U$39,1)+COUNTIF(U11:U$39,U11)-1)</f>
        <v/>
      </c>
      <c r="AI11" s="109" t="str">
        <f>IF(V11="","",_xlfn.RANK.EQ(V11,V$4:V$39,1)+COUNTIF(V11:V$39,V11)-1)</f>
        <v/>
      </c>
      <c r="AJ11" s="109" t="str">
        <f>IF(W11="","",_xlfn.RANK.EQ(W11,W$4:W$39,1)+COUNTIF(W11:W$39,W11)-1)</f>
        <v/>
      </c>
      <c r="AK11" s="109" t="str">
        <f>IF(X11="","",_xlfn.RANK.EQ(X11,X$4:X$41,1)+COUNTIF(X11:X$41,X11)-1)</f>
        <v/>
      </c>
      <c r="AL11" s="109" t="str">
        <f>IF(Y11="","",_xlfn.RANK.EQ(Y11,Y$4:Y$41,1)+COUNTIF(Y11:Y$41,Y11)-1)</f>
        <v/>
      </c>
      <c r="AM11" s="109" t="str">
        <f>IF(Z11="","",_xlfn.RANK.EQ(Z11,Z$4:Z$41,1)+COUNTIF(Z11:Z$41,Z11)-1)</f>
        <v/>
      </c>
      <c r="AN11" s="109" t="str">
        <f>IF(AA11="","",_xlfn.RANK.EQ(AA11,AA$4:AA$41,1)+COUNTIF(AA11:AA$41,AA11)-1)</f>
        <v/>
      </c>
      <c r="AO11" s="109" t="str">
        <f>IF(AB11="","",_xlfn.RANK.EQ(AB11,AB$4:AB$41,1)+COUNTIF(AB11:AB$41,AB11)-1)</f>
        <v/>
      </c>
    </row>
    <row r="12" spans="1:41" ht="12.75" customHeight="1">
      <c r="A12" s="73"/>
      <c r="B12" s="37" t="s">
        <v>27</v>
      </c>
      <c r="C12" s="37">
        <v>5</v>
      </c>
      <c r="D12" s="37" t="s">
        <v>19</v>
      </c>
      <c r="E12" s="37"/>
      <c r="F12" s="37"/>
      <c r="G12" s="162"/>
      <c r="H12" s="37"/>
      <c r="I12" s="37"/>
      <c r="J12" s="37"/>
      <c r="K12" s="37"/>
      <c r="L12" s="37"/>
      <c r="M12" s="37"/>
      <c r="N12" s="37"/>
      <c r="O12" s="38"/>
      <c r="P12" s="109" t="str">
        <f t="shared" si="0"/>
        <v/>
      </c>
      <c r="Q12" s="109" t="str">
        <f t="shared" si="0"/>
        <v/>
      </c>
      <c r="R12" s="109" t="str">
        <f t="shared" si="1"/>
        <v/>
      </c>
      <c r="S12" s="109" t="str">
        <f t="shared" si="18"/>
        <v/>
      </c>
      <c r="T12" s="109" t="str">
        <f t="shared" si="19"/>
        <v/>
      </c>
      <c r="U12" s="109" t="str">
        <f t="shared" si="20"/>
        <v/>
      </c>
      <c r="V12" s="109" t="str">
        <f t="shared" si="21"/>
        <v/>
      </c>
      <c r="W12" s="109" t="str">
        <f t="shared" si="22"/>
        <v/>
      </c>
      <c r="X12" s="109" t="str">
        <f t="shared" si="13"/>
        <v/>
      </c>
      <c r="Y12" s="109" t="str">
        <f t="shared" si="14"/>
        <v/>
      </c>
      <c r="Z12" s="109" t="str">
        <f t="shared" si="15"/>
        <v/>
      </c>
      <c r="AA12" s="109" t="str">
        <f t="shared" si="16"/>
        <v/>
      </c>
      <c r="AB12" s="109" t="str">
        <f t="shared" si="17"/>
        <v/>
      </c>
      <c r="AC12" s="109" t="str">
        <f>IF(P12="","",_xlfn.RANK.EQ(P12,P$4:P$41,1)+COUNTIF(P12:P$41,P12)-1)</f>
        <v/>
      </c>
      <c r="AD12" s="109" t="str">
        <f>IF(Q12="","",_xlfn.RANK.EQ(Q12,Q$4:Q$41,1)+COUNTIF(Q12:Q$41,Q12)-1)</f>
        <v/>
      </c>
      <c r="AE12" s="109" t="str">
        <f>IF(R12="","",_xlfn.RANK.EQ(R12,R$4:R$41,1)+COUNTIF(R12:R$41,R12)-1)</f>
        <v/>
      </c>
      <c r="AF12" s="109" t="str">
        <f>IF(S12="","",_xlfn.RANK.EQ(S12,S$4:S$39,1)+COUNTIF(S12:S$39,S12)-1)</f>
        <v/>
      </c>
      <c r="AG12" s="109" t="str">
        <f>IF(T12="","",_xlfn.RANK.EQ(T12,T$4:T$39,1)+COUNTIF(T12:T$39,T12)-1)</f>
        <v/>
      </c>
      <c r="AH12" s="109" t="str">
        <f>IF(U12="","",_xlfn.RANK.EQ(U12,U$4:U$39,1)+COUNTIF(U12:U$39,U12)-1)</f>
        <v/>
      </c>
      <c r="AI12" s="109" t="str">
        <f>IF(V12="","",_xlfn.RANK.EQ(V12,V$4:V$39,1)+COUNTIF(V12:V$39,V12)-1)</f>
        <v/>
      </c>
      <c r="AJ12" s="109" t="str">
        <f>IF(W12="","",_xlfn.RANK.EQ(W12,W$4:W$39,1)+COUNTIF(W12:W$39,W12)-1)</f>
        <v/>
      </c>
      <c r="AK12" s="109" t="str">
        <f>IF(X12="","",_xlfn.RANK.EQ(X12,X$4:X$41,1)+COUNTIF(X12:X$41,X12)-1)</f>
        <v/>
      </c>
      <c r="AL12" s="109" t="str">
        <f>IF(Y12="","",_xlfn.RANK.EQ(Y12,Y$4:Y$41,1)+COUNTIF(Y12:Y$41,Y12)-1)</f>
        <v/>
      </c>
      <c r="AM12" s="109" t="str">
        <f>IF(Z12="","",_xlfn.RANK.EQ(Z12,Z$4:Z$41,1)+COUNTIF(Z12:Z$41,Z12)-1)</f>
        <v/>
      </c>
      <c r="AN12" s="109" t="str">
        <f>IF(AA12="","",_xlfn.RANK.EQ(AA12,AA$4:AA$41,1)+COUNTIF(AA12:AA$41,AA12)-1)</f>
        <v/>
      </c>
      <c r="AO12" s="109" t="str">
        <f>IF(AB12="","",_xlfn.RANK.EQ(AB12,AB$4:AB$41,1)+COUNTIF(AB12:AB$41,AB12)-1)</f>
        <v/>
      </c>
    </row>
    <row r="13" spans="1:41" ht="12.75" customHeight="1">
      <c r="A13" s="73"/>
      <c r="B13" s="37" t="s">
        <v>27</v>
      </c>
      <c r="C13" s="37">
        <v>10</v>
      </c>
      <c r="D13" s="37" t="s">
        <v>19</v>
      </c>
      <c r="E13" s="37"/>
      <c r="F13" s="44"/>
      <c r="G13" s="161"/>
      <c r="H13" s="37"/>
      <c r="I13" s="37"/>
      <c r="J13" s="37"/>
      <c r="K13" s="37"/>
      <c r="L13" s="37"/>
      <c r="M13" s="37"/>
      <c r="N13" s="37"/>
      <c r="O13" s="38"/>
      <c r="P13" s="109" t="str">
        <f t="shared" si="0"/>
        <v/>
      </c>
      <c r="Q13" s="109" t="str">
        <f t="shared" si="0"/>
        <v/>
      </c>
      <c r="R13" s="109" t="str">
        <f t="shared" si="1"/>
        <v/>
      </c>
      <c r="S13" s="109" t="str">
        <f t="shared" si="18"/>
        <v/>
      </c>
      <c r="T13" s="109" t="str">
        <f t="shared" si="19"/>
        <v/>
      </c>
      <c r="U13" s="109" t="str">
        <f t="shared" si="20"/>
        <v/>
      </c>
      <c r="V13" s="109" t="str">
        <f t="shared" si="21"/>
        <v/>
      </c>
      <c r="W13" s="109" t="str">
        <f t="shared" si="22"/>
        <v/>
      </c>
      <c r="X13" s="109" t="str">
        <f t="shared" si="13"/>
        <v/>
      </c>
      <c r="Y13" s="109" t="str">
        <f t="shared" si="14"/>
        <v/>
      </c>
      <c r="Z13" s="109" t="str">
        <f t="shared" si="15"/>
        <v/>
      </c>
      <c r="AA13" s="109" t="str">
        <f t="shared" si="16"/>
        <v/>
      </c>
      <c r="AB13" s="109" t="str">
        <f t="shared" si="17"/>
        <v/>
      </c>
      <c r="AC13" s="109" t="str">
        <f>IF(P13="","",_xlfn.RANK.EQ(P13,P$4:P$41,1)+COUNTIF(P13:P$41,P13)-1)</f>
        <v/>
      </c>
      <c r="AD13" s="109" t="str">
        <f>IF(Q13="","",_xlfn.RANK.EQ(Q13,Q$4:Q$41,1)+COUNTIF(Q13:Q$41,Q13)-1)</f>
        <v/>
      </c>
      <c r="AE13" s="109" t="str">
        <f>IF(R13="","",_xlfn.RANK.EQ(R13,R$4:R$41,1)+COUNTIF(R13:R$41,R13)-1)</f>
        <v/>
      </c>
      <c r="AF13" s="109" t="str">
        <f>IF(S13="","",_xlfn.RANK.EQ(S13,S$4:S$39,1)+COUNTIF(S13:S$39,S13)-1)</f>
        <v/>
      </c>
      <c r="AG13" s="109" t="str">
        <f>IF(T13="","",_xlfn.RANK.EQ(T13,T$4:T$39,1)+COUNTIF(T13:T$39,T13)-1)</f>
        <v/>
      </c>
      <c r="AH13" s="109" t="str">
        <f>IF(U13="","",_xlfn.RANK.EQ(U13,U$4:U$39,1)+COUNTIF(U13:U$39,U13)-1)</f>
        <v/>
      </c>
      <c r="AI13" s="109" t="str">
        <f>IF(V13="","",_xlfn.RANK.EQ(V13,V$4:V$39,1)+COUNTIF(V13:V$39,V13)-1)</f>
        <v/>
      </c>
      <c r="AJ13" s="109" t="str">
        <f>IF(W13="","",_xlfn.RANK.EQ(W13,W$4:W$39,1)+COUNTIF(W13:W$39,W13)-1)</f>
        <v/>
      </c>
      <c r="AK13" s="109" t="str">
        <f>IF(X13="","",_xlfn.RANK.EQ(X13,X$4:X$41,1)+COUNTIF(X13:X$41,X13)-1)</f>
        <v/>
      </c>
      <c r="AL13" s="109" t="str">
        <f>IF(Y13="","",_xlfn.RANK.EQ(Y13,Y$4:Y$41,1)+COUNTIF(Y13:Y$41,Y13)-1)</f>
        <v/>
      </c>
      <c r="AM13" s="109" t="str">
        <f>IF(Z13="","",_xlfn.RANK.EQ(Z13,Z$4:Z$41,1)+COUNTIF(Z13:Z$41,Z13)-1)</f>
        <v/>
      </c>
      <c r="AN13" s="109" t="str">
        <f>IF(AA13="","",_xlfn.RANK.EQ(AA13,AA$4:AA$41,1)+COUNTIF(AA13:AA$41,AA13)-1)</f>
        <v/>
      </c>
      <c r="AO13" s="109" t="str">
        <f>IF(AB13="","",_xlfn.RANK.EQ(AB13,AB$4:AB$41,1)+COUNTIF(AB13:AB$41,AB13)-1)</f>
        <v/>
      </c>
    </row>
    <row r="14" spans="1:41" ht="12.75" customHeight="1">
      <c r="A14" s="73"/>
      <c r="B14" s="37" t="s">
        <v>27</v>
      </c>
      <c r="C14" s="37">
        <v>1</v>
      </c>
      <c r="D14" s="37" t="s">
        <v>56</v>
      </c>
      <c r="E14" s="37">
        <v>21</v>
      </c>
      <c r="F14" s="44">
        <v>21</v>
      </c>
      <c r="G14" s="161" t="s">
        <v>145</v>
      </c>
      <c r="H14" s="37" t="s">
        <v>52</v>
      </c>
      <c r="I14" s="37" t="s">
        <v>20</v>
      </c>
      <c r="J14" s="37" t="s">
        <v>7</v>
      </c>
      <c r="K14" s="37" t="s">
        <v>7</v>
      </c>
      <c r="L14" s="37" t="s">
        <v>7</v>
      </c>
      <c r="M14" s="37" t="s">
        <v>7</v>
      </c>
      <c r="N14" s="37" t="s">
        <v>7</v>
      </c>
      <c r="O14" s="38"/>
      <c r="P14" s="109" t="str">
        <f t="shared" si="0"/>
        <v/>
      </c>
      <c r="Q14" s="109">
        <f t="shared" si="0"/>
        <v>0.21</v>
      </c>
      <c r="R14" s="109" t="str">
        <f t="shared" si="1"/>
        <v/>
      </c>
      <c r="S14" s="109" t="str">
        <f t="shared" si="18"/>
        <v/>
      </c>
      <c r="T14" s="109" t="str">
        <f t="shared" si="19"/>
        <v/>
      </c>
      <c r="U14" s="109" t="str">
        <f t="shared" si="20"/>
        <v/>
      </c>
      <c r="V14" s="109" t="str">
        <f t="shared" si="21"/>
        <v/>
      </c>
      <c r="W14" s="109" t="str">
        <f t="shared" si="22"/>
        <v/>
      </c>
      <c r="X14" s="109" t="str">
        <f t="shared" si="13"/>
        <v/>
      </c>
      <c r="Y14" s="109" t="str">
        <f t="shared" si="14"/>
        <v/>
      </c>
      <c r="Z14" s="109" t="str">
        <f t="shared" si="15"/>
        <v/>
      </c>
      <c r="AA14" s="109" t="str">
        <f t="shared" si="16"/>
        <v/>
      </c>
      <c r="AB14" s="109" t="str">
        <f t="shared" si="17"/>
        <v/>
      </c>
      <c r="AC14" s="109" t="str">
        <f>IF(P14="","",_xlfn.RANK.EQ(P14,P$4:P$41,1)+COUNTIF(P14:P$41,P14)-1)</f>
        <v/>
      </c>
      <c r="AD14" s="109">
        <f>IF(Q14="","",_xlfn.RANK.EQ(Q14,Q$4:Q$41,1)+COUNTIF(Q14:Q$41,Q14)-1)</f>
        <v>4</v>
      </c>
      <c r="AE14" s="109" t="str">
        <f>IF(R14="","",_xlfn.RANK.EQ(R14,R$4:R$41,1)+COUNTIF(R14:R$41,R14)-1)</f>
        <v/>
      </c>
      <c r="AF14" s="109" t="str">
        <f>IF(S14="","",_xlfn.RANK.EQ(S14,S$4:S$39,1)+COUNTIF(S14:S$39,S14)-1)</f>
        <v/>
      </c>
      <c r="AG14" s="109" t="str">
        <f>IF(T14="","",_xlfn.RANK.EQ(T14,T$4:T$39,1)+COUNTIF(T14:T$39,T14)-1)</f>
        <v/>
      </c>
      <c r="AH14" s="109" t="str">
        <f>IF(U14="","",_xlfn.RANK.EQ(U14,U$4:U$39,1)+COUNTIF(U14:U$39,U14)-1)</f>
        <v/>
      </c>
      <c r="AI14" s="109" t="str">
        <f>IF(V14="","",_xlfn.RANK.EQ(V14,V$4:V$39,1)+COUNTIF(V14:V$39,V14)-1)</f>
        <v/>
      </c>
      <c r="AJ14" s="109" t="str">
        <f>IF(W14="","",_xlfn.RANK.EQ(W14,W$4:W$39,1)+COUNTIF(W14:W$39,W14)-1)</f>
        <v/>
      </c>
      <c r="AK14" s="109" t="str">
        <f>IF(X14="","",_xlfn.RANK.EQ(X14,X$4:X$41,1)+COUNTIF(X14:X$41,X14)-1)</f>
        <v/>
      </c>
      <c r="AL14" s="109" t="str">
        <f>IF(Y14="","",_xlfn.RANK.EQ(Y14,Y$4:Y$41,1)+COUNTIF(Y14:Y$41,Y14)-1)</f>
        <v/>
      </c>
      <c r="AM14" s="109" t="str">
        <f>IF(Z14="","",_xlfn.RANK.EQ(Z14,Z$4:Z$41,1)+COUNTIF(Z14:Z$41,Z14)-1)</f>
        <v/>
      </c>
      <c r="AN14" s="109" t="str">
        <f>IF(AA14="","",_xlfn.RANK.EQ(AA14,AA$4:AA$41,1)+COUNTIF(AA14:AA$41,AA14)-1)</f>
        <v/>
      </c>
      <c r="AO14" s="109" t="str">
        <f>IF(AB14="","",_xlfn.RANK.EQ(AB14,AB$4:AB$41,1)+COUNTIF(AB14:AB$41,AB14)-1)</f>
        <v/>
      </c>
    </row>
    <row r="15" spans="1:41" ht="12.75" customHeight="1">
      <c r="A15" s="73"/>
      <c r="B15" s="37" t="s">
        <v>27</v>
      </c>
      <c r="C15" s="37">
        <v>1</v>
      </c>
      <c r="D15" s="37" t="s">
        <v>56</v>
      </c>
      <c r="E15" s="37">
        <v>21</v>
      </c>
      <c r="F15" s="44">
        <v>21</v>
      </c>
      <c r="G15" s="161" t="s">
        <v>145</v>
      </c>
      <c r="H15" s="37" t="s">
        <v>52</v>
      </c>
      <c r="I15" s="37" t="s">
        <v>63</v>
      </c>
      <c r="J15" s="37" t="s">
        <v>8</v>
      </c>
      <c r="K15" s="37" t="s">
        <v>8</v>
      </c>
      <c r="L15" s="37" t="s">
        <v>8</v>
      </c>
      <c r="M15" s="37" t="s">
        <v>8</v>
      </c>
      <c r="N15" s="37" t="s">
        <v>8</v>
      </c>
      <c r="O15" s="38"/>
      <c r="P15" s="109" t="str">
        <f t="shared" si="0"/>
        <v/>
      </c>
      <c r="Q15" s="109" t="str">
        <f t="shared" si="0"/>
        <v/>
      </c>
      <c r="R15" s="109" t="str">
        <f t="shared" si="1"/>
        <v/>
      </c>
      <c r="S15" s="109" t="str">
        <f t="shared" si="18"/>
        <v/>
      </c>
      <c r="T15" s="109" t="str">
        <f t="shared" si="19"/>
        <v/>
      </c>
      <c r="U15" s="109" t="str">
        <f t="shared" si="20"/>
        <v/>
      </c>
      <c r="V15" s="109" t="str">
        <f t="shared" si="21"/>
        <v/>
      </c>
      <c r="W15" s="109" t="str">
        <f t="shared" si="22"/>
        <v/>
      </c>
      <c r="X15" s="109">
        <f t="shared" si="13"/>
        <v>0.21</v>
      </c>
      <c r="Y15" s="109">
        <f t="shared" si="14"/>
        <v>0.21</v>
      </c>
      <c r="Z15" s="109">
        <f t="shared" si="15"/>
        <v>0.21</v>
      </c>
      <c r="AA15" s="109">
        <f t="shared" si="16"/>
        <v>0.21</v>
      </c>
      <c r="AB15" s="109">
        <f t="shared" si="17"/>
        <v>0.21</v>
      </c>
      <c r="AC15" s="109" t="str">
        <f>IF(P15="","",_xlfn.RANK.EQ(P15,P$4:P$41,1)+COUNTIF(P15:P$41,P15)-1)</f>
        <v/>
      </c>
      <c r="AD15" s="109" t="str">
        <f>IF(Q15="","",_xlfn.RANK.EQ(Q15,Q$4:Q$41,1)+COUNTIF(Q15:Q$41,Q15)-1)</f>
        <v/>
      </c>
      <c r="AE15" s="109" t="str">
        <f>IF(R15="","",_xlfn.RANK.EQ(R15,R$4:R$41,1)+COUNTIF(R15:R$41,R15)-1)</f>
        <v/>
      </c>
      <c r="AF15" s="109" t="str">
        <f>IF(S15="","",_xlfn.RANK.EQ(S15,S$4:S$39,1)+COUNTIF(S15:S$39,S15)-1)</f>
        <v/>
      </c>
      <c r="AG15" s="109" t="str">
        <f>IF(T15="","",_xlfn.RANK.EQ(T15,T$4:T$39,1)+COUNTIF(T15:T$39,T15)-1)</f>
        <v/>
      </c>
      <c r="AH15" s="109" t="str">
        <f>IF(U15="","",_xlfn.RANK.EQ(U15,U$4:U$39,1)+COUNTIF(U15:U$39,U15)-1)</f>
        <v/>
      </c>
      <c r="AI15" s="109" t="str">
        <f>IF(V15="","",_xlfn.RANK.EQ(V15,V$4:V$39,1)+COUNTIF(V15:V$39,V15)-1)</f>
        <v/>
      </c>
      <c r="AJ15" s="109" t="str">
        <f>IF(W15="","",_xlfn.RANK.EQ(W15,W$4:W$39,1)+COUNTIF(W15:W$39,W15)-1)</f>
        <v/>
      </c>
      <c r="AK15" s="109">
        <f>IF(X15="","",_xlfn.RANK.EQ(X15,X$4:X$41,1)+COUNTIF(X15:X$41,X15)-1)</f>
        <v>13</v>
      </c>
      <c r="AL15" s="109">
        <f>IF(Y15="","",_xlfn.RANK.EQ(Y15,Y$4:Y$41,1)+COUNTIF(Y15:Y$41,Y15)-1)</f>
        <v>11</v>
      </c>
      <c r="AM15" s="109">
        <f>IF(Z15="","",_xlfn.RANK.EQ(Z15,Z$4:Z$41,1)+COUNTIF(Z15:Z$41,Z15)-1)</f>
        <v>12</v>
      </c>
      <c r="AN15" s="109">
        <f>IF(AA15="","",_xlfn.RANK.EQ(AA15,AA$4:AA$41,1)+COUNTIF(AA15:AA$41,AA15)-1)</f>
        <v>11</v>
      </c>
      <c r="AO15" s="109">
        <f>IF(AB15="","",_xlfn.RANK.EQ(AB15,AB$4:AB$41,1)+COUNTIF(AB15:AB$41,AB15)-1)</f>
        <v>13</v>
      </c>
    </row>
    <row r="16" spans="1:41" ht="12.75" customHeight="1">
      <c r="A16" s="73"/>
      <c r="B16" s="37" t="s">
        <v>27</v>
      </c>
      <c r="C16" s="37">
        <v>2</v>
      </c>
      <c r="D16" s="37" t="s">
        <v>4</v>
      </c>
      <c r="E16" s="37">
        <v>17</v>
      </c>
      <c r="F16" s="44">
        <v>21</v>
      </c>
      <c r="G16" s="72" t="s">
        <v>135</v>
      </c>
      <c r="H16" s="37" t="s">
        <v>52</v>
      </c>
      <c r="I16" s="37" t="s">
        <v>63</v>
      </c>
      <c r="J16" s="37" t="s">
        <v>8</v>
      </c>
      <c r="K16" s="166" t="s">
        <v>8</v>
      </c>
      <c r="L16" s="37" t="s">
        <v>8</v>
      </c>
      <c r="M16" s="37" t="s">
        <v>8</v>
      </c>
      <c r="N16" s="37" t="s">
        <v>8</v>
      </c>
      <c r="O16" s="38"/>
      <c r="P16" s="109" t="str">
        <f t="shared" si="0"/>
        <v/>
      </c>
      <c r="Q16" s="109" t="str">
        <f t="shared" si="0"/>
        <v/>
      </c>
      <c r="R16" s="109" t="str">
        <f t="shared" si="1"/>
        <v/>
      </c>
      <c r="S16" s="109" t="str">
        <f t="shared" si="18"/>
        <v/>
      </c>
      <c r="T16" s="109" t="str">
        <f t="shared" si="19"/>
        <v/>
      </c>
      <c r="U16" s="109" t="str">
        <f t="shared" si="20"/>
        <v/>
      </c>
      <c r="V16" s="109" t="str">
        <f t="shared" si="21"/>
        <v/>
      </c>
      <c r="W16" s="109" t="str">
        <f t="shared" si="22"/>
        <v/>
      </c>
      <c r="X16" s="109">
        <f t="shared" si="13"/>
        <v>0.21</v>
      </c>
      <c r="Y16" s="109">
        <f t="shared" si="14"/>
        <v>0.21</v>
      </c>
      <c r="Z16" s="109">
        <f t="shared" si="15"/>
        <v>0.21</v>
      </c>
      <c r="AA16" s="109">
        <f t="shared" si="16"/>
        <v>0.21</v>
      </c>
      <c r="AB16" s="109">
        <f t="shared" si="17"/>
        <v>0.21</v>
      </c>
      <c r="AC16" s="109" t="str">
        <f>IF(P16="","",_xlfn.RANK.EQ(P16,P$4:P$41,1)+COUNTIF(P16:P$41,P16)-1)</f>
        <v/>
      </c>
      <c r="AD16" s="109" t="str">
        <f>IF(Q16="","",_xlfn.RANK.EQ(Q16,Q$4:Q$41,1)+COUNTIF(Q16:Q$41,Q16)-1)</f>
        <v/>
      </c>
      <c r="AE16" s="109" t="str">
        <f>IF(R16="","",_xlfn.RANK.EQ(R16,R$4:R$41,1)+COUNTIF(R16:R$41,R16)-1)</f>
        <v/>
      </c>
      <c r="AF16" s="109" t="str">
        <f>IF(S16="","",_xlfn.RANK.EQ(S16,S$4:S$39,1)+COUNTIF(S16:S$39,S16)-1)</f>
        <v/>
      </c>
      <c r="AG16" s="109" t="str">
        <f>IF(T16="","",_xlfn.RANK.EQ(T16,T$4:T$39,1)+COUNTIF(T16:T$39,T16)-1)</f>
        <v/>
      </c>
      <c r="AH16" s="109" t="str">
        <f>IF(U16="","",_xlfn.RANK.EQ(U16,U$4:U$39,1)+COUNTIF(U16:U$39,U16)-1)</f>
        <v/>
      </c>
      <c r="AI16" s="109" t="str">
        <f>IF(V16="","",_xlfn.RANK.EQ(V16,V$4:V$39,1)+COUNTIF(V16:V$39,V16)-1)</f>
        <v/>
      </c>
      <c r="AJ16" s="109" t="str">
        <f>IF(W16="","",_xlfn.RANK.EQ(W16,W$4:W$39,1)+COUNTIF(W16:W$39,W16)-1)</f>
        <v/>
      </c>
      <c r="AK16" s="109">
        <f>IF(X16="","",_xlfn.RANK.EQ(X16,X$4:X$41,1)+COUNTIF(X16:X$41,X16)-1)</f>
        <v>12</v>
      </c>
      <c r="AL16" s="109">
        <f>IF(Y16="","",_xlfn.RANK.EQ(Y16,Y$4:Y$41,1)+COUNTIF(Y16:Y$41,Y16)-1)</f>
        <v>10</v>
      </c>
      <c r="AM16" s="109">
        <f>IF(Z16="","",_xlfn.RANK.EQ(Z16,Z$4:Z$41,1)+COUNTIF(Z16:Z$41,Z16)-1)</f>
        <v>11</v>
      </c>
      <c r="AN16" s="109">
        <f>IF(AA16="","",_xlfn.RANK.EQ(AA16,AA$4:AA$41,1)+COUNTIF(AA16:AA$41,AA16)-1)</f>
        <v>10</v>
      </c>
      <c r="AO16" s="109">
        <f>IF(AB16="","",_xlfn.RANK.EQ(AB16,AB$4:AB$41,1)+COUNTIF(AB16:AB$41,AB16)-1)</f>
        <v>12</v>
      </c>
    </row>
    <row r="17" spans="1:41" ht="12.75" customHeight="1">
      <c r="A17" s="73"/>
      <c r="B17" s="37" t="s">
        <v>27</v>
      </c>
      <c r="C17" s="37">
        <v>2</v>
      </c>
      <c r="D17" s="37" t="s">
        <v>4</v>
      </c>
      <c r="E17" s="37">
        <v>17</v>
      </c>
      <c r="F17" s="44">
        <v>17</v>
      </c>
      <c r="G17" s="169" t="s">
        <v>128</v>
      </c>
      <c r="H17" s="44" t="s">
        <v>52</v>
      </c>
      <c r="I17" s="37" t="s">
        <v>20</v>
      </c>
      <c r="J17" s="37" t="s">
        <v>7</v>
      </c>
      <c r="K17" s="37" t="s">
        <v>7</v>
      </c>
      <c r="L17" s="37" t="s">
        <v>7</v>
      </c>
      <c r="M17" s="37" t="s">
        <v>7</v>
      </c>
      <c r="N17" s="37" t="s">
        <v>7</v>
      </c>
      <c r="O17" s="38"/>
      <c r="P17" s="109" t="str">
        <f t="shared" si="0"/>
        <v/>
      </c>
      <c r="Q17" s="109">
        <f t="shared" si="0"/>
        <v>0.17</v>
      </c>
      <c r="R17" s="109" t="str">
        <f t="shared" si="1"/>
        <v/>
      </c>
      <c r="S17" s="109" t="str">
        <f t="shared" si="18"/>
        <v/>
      </c>
      <c r="T17" s="109" t="str">
        <f t="shared" si="19"/>
        <v/>
      </c>
      <c r="U17" s="109" t="str">
        <f t="shared" si="20"/>
        <v/>
      </c>
      <c r="V17" s="109" t="str">
        <f t="shared" si="21"/>
        <v/>
      </c>
      <c r="W17" s="109" t="str">
        <f t="shared" si="22"/>
        <v/>
      </c>
      <c r="X17" s="109" t="str">
        <f t="shared" si="13"/>
        <v/>
      </c>
      <c r="Y17" s="109" t="str">
        <f t="shared" si="14"/>
        <v/>
      </c>
      <c r="Z17" s="109" t="str">
        <f t="shared" si="15"/>
        <v/>
      </c>
      <c r="AA17" s="109" t="str">
        <f t="shared" si="16"/>
        <v/>
      </c>
      <c r="AB17" s="109" t="str">
        <f t="shared" si="17"/>
        <v/>
      </c>
      <c r="AC17" s="109" t="str">
        <f>IF(P17="","",_xlfn.RANK.EQ(P17,P$4:P$41,1)+COUNTIF(P17:P$41,P17)-1)</f>
        <v/>
      </c>
      <c r="AD17" s="109">
        <f>IF(Q17="","",_xlfn.RANK.EQ(Q17,Q$4:Q$41,1)+COUNTIF(Q17:Q$41,Q17)-1)</f>
        <v>3</v>
      </c>
      <c r="AE17" s="109" t="str">
        <f>IF(R17="","",_xlfn.RANK.EQ(R17,R$4:R$41,1)+COUNTIF(R17:R$41,R17)-1)</f>
        <v/>
      </c>
      <c r="AF17" s="109" t="str">
        <f>IF(S17="","",_xlfn.RANK.EQ(S17,S$4:S$39,1)+COUNTIF(S17:S$39,S17)-1)</f>
        <v/>
      </c>
      <c r="AG17" s="109" t="str">
        <f>IF(T17="","",_xlfn.RANK.EQ(T17,T$4:T$39,1)+COUNTIF(T17:T$39,T17)-1)</f>
        <v/>
      </c>
      <c r="AH17" s="109" t="str">
        <f>IF(U17="","",_xlfn.RANK.EQ(U17,U$4:U$39,1)+COUNTIF(U17:U$39,U17)-1)</f>
        <v/>
      </c>
      <c r="AI17" s="109" t="str">
        <f>IF(V17="","",_xlfn.RANK.EQ(V17,V$4:V$39,1)+COUNTIF(V17:V$39,V17)-1)</f>
        <v/>
      </c>
      <c r="AJ17" s="109" t="str">
        <f>IF(W17="","",_xlfn.RANK.EQ(W17,W$4:W$39,1)+COUNTIF(W17:W$39,W17)-1)</f>
        <v/>
      </c>
      <c r="AK17" s="109" t="str">
        <f>IF(X17="","",_xlfn.RANK.EQ(X17,X$4:X$41,1)+COUNTIF(X17:X$41,X17)-1)</f>
        <v/>
      </c>
      <c r="AL17" s="109" t="str">
        <f>IF(Y17="","",_xlfn.RANK.EQ(Y17,Y$4:Y$41,1)+COUNTIF(Y17:Y$41,Y17)-1)</f>
        <v/>
      </c>
      <c r="AM17" s="109" t="str">
        <f>IF(Z17="","",_xlfn.RANK.EQ(Z17,Z$4:Z$41,1)+COUNTIF(Z17:Z$41,Z17)-1)</f>
        <v/>
      </c>
      <c r="AN17" s="109" t="str">
        <f>IF(AA17="","",_xlfn.RANK.EQ(AA17,AA$4:AA$41,1)+COUNTIF(AA17:AA$41,AA17)-1)</f>
        <v/>
      </c>
      <c r="AO17" s="109" t="str">
        <f>IF(AB17="","",_xlfn.RANK.EQ(AB17,AB$4:AB$41,1)+COUNTIF(AB17:AB$41,AB17)-1)</f>
        <v/>
      </c>
    </row>
    <row r="18" spans="1:41" ht="12.75" customHeight="1">
      <c r="A18" s="73"/>
      <c r="B18" s="37" t="s">
        <v>27</v>
      </c>
      <c r="C18" s="37">
        <v>2</v>
      </c>
      <c r="D18" s="37" t="s">
        <v>4</v>
      </c>
      <c r="E18" s="37">
        <v>17</v>
      </c>
      <c r="F18" s="44">
        <v>17</v>
      </c>
      <c r="G18" s="161" t="s">
        <v>127</v>
      </c>
      <c r="H18" s="37" t="s">
        <v>52</v>
      </c>
      <c r="I18" s="37" t="s">
        <v>63</v>
      </c>
      <c r="J18" s="37" t="s">
        <v>65</v>
      </c>
      <c r="K18" s="37" t="s">
        <v>65</v>
      </c>
      <c r="L18" s="37" t="s">
        <v>65</v>
      </c>
      <c r="M18" s="37" t="s">
        <v>65</v>
      </c>
      <c r="N18" s="37" t="s">
        <v>65</v>
      </c>
      <c r="O18" s="38"/>
      <c r="P18" s="109" t="str">
        <f t="shared" si="0"/>
        <v/>
      </c>
      <c r="Q18" s="109" t="str">
        <f t="shared" si="0"/>
        <v/>
      </c>
      <c r="R18" s="109" t="str">
        <f t="shared" si="1"/>
        <v/>
      </c>
      <c r="S18" s="109">
        <f t="shared" si="18"/>
        <v>0.17</v>
      </c>
      <c r="T18" s="109">
        <f t="shared" si="19"/>
        <v>0.17</v>
      </c>
      <c r="U18" s="109">
        <f t="shared" si="20"/>
        <v>0.17</v>
      </c>
      <c r="V18" s="109">
        <f t="shared" si="21"/>
        <v>0.17</v>
      </c>
      <c r="W18" s="109">
        <f t="shared" si="22"/>
        <v>0.17</v>
      </c>
      <c r="X18" s="109" t="str">
        <f t="shared" si="13"/>
        <v/>
      </c>
      <c r="Y18" s="109" t="str">
        <f t="shared" si="14"/>
        <v/>
      </c>
      <c r="Z18" s="109" t="str">
        <f t="shared" si="15"/>
        <v/>
      </c>
      <c r="AA18" s="109" t="str">
        <f t="shared" si="16"/>
        <v/>
      </c>
      <c r="AB18" s="109" t="str">
        <f t="shared" si="17"/>
        <v/>
      </c>
      <c r="AC18" s="109" t="str">
        <f>IF(P18="","",_xlfn.RANK.EQ(P18,P$4:P$41,1)+COUNTIF(P18:P$41,P18)-1)</f>
        <v/>
      </c>
      <c r="AD18" s="109" t="str">
        <f>IF(Q18="","",_xlfn.RANK.EQ(Q18,Q$4:Q$41,1)+COUNTIF(Q18:Q$41,Q18)-1)</f>
        <v/>
      </c>
      <c r="AE18" s="109" t="str">
        <f>IF(R18="","",_xlfn.RANK.EQ(R18,R$4:R$41,1)+COUNTIF(R18:R$41,R18)-1)</f>
        <v/>
      </c>
      <c r="AF18" s="109">
        <f>IF(S18="","",_xlfn.RANK.EQ(S18,S$4:S$39,1)+COUNTIF(S18:S$39,S18)-1)</f>
        <v>7</v>
      </c>
      <c r="AG18" s="109">
        <f>IF(T18="","",_xlfn.RANK.EQ(T18,T$4:T$39,1)+COUNTIF(T18:T$39,T18)-1)</f>
        <v>7</v>
      </c>
      <c r="AH18" s="109">
        <f>IF(U18="","",_xlfn.RANK.EQ(U18,U$4:U$39,1)+COUNTIF(U18:U$39,U18)-1)</f>
        <v>7</v>
      </c>
      <c r="AI18" s="109">
        <f>IF(V18="","",_xlfn.RANK.EQ(V18,V$4:V$39,1)+COUNTIF(V18:V$39,V18)-1)</f>
        <v>7</v>
      </c>
      <c r="AJ18" s="109">
        <f>IF(W18="","",_xlfn.RANK.EQ(W18,W$4:W$39,1)+COUNTIF(W18:W$39,W18)-1)</f>
        <v>6</v>
      </c>
      <c r="AK18" s="109" t="str">
        <f>IF(X18="","",_xlfn.RANK.EQ(X18,X$4:X$41,1)+COUNTIF(X18:X$41,X18)-1)</f>
        <v/>
      </c>
      <c r="AL18" s="109" t="str">
        <f>IF(Y18="","",_xlfn.RANK.EQ(Y18,Y$4:Y$41,1)+COUNTIF(Y18:Y$41,Y18)-1)</f>
        <v/>
      </c>
      <c r="AM18" s="109" t="str">
        <f>IF(Z18="","",_xlfn.RANK.EQ(Z18,Z$4:Z$41,1)+COUNTIF(Z18:Z$41,Z18)-1)</f>
        <v/>
      </c>
      <c r="AN18" s="109" t="str">
        <f>IF(AA18="","",_xlfn.RANK.EQ(AA18,AA$4:AA$41,1)+COUNTIF(AA18:AA$41,AA18)-1)</f>
        <v/>
      </c>
      <c r="AO18" s="109" t="str">
        <f>IF(AB18="","",_xlfn.RANK.EQ(AB18,AB$4:AB$41,1)+COUNTIF(AB18:AB$41,AB18)-1)</f>
        <v/>
      </c>
    </row>
    <row r="19" spans="1:41" ht="12.75" customHeight="1">
      <c r="A19" s="73"/>
      <c r="B19" s="37" t="s">
        <v>54</v>
      </c>
      <c r="C19" s="37">
        <v>7</v>
      </c>
      <c r="D19" s="37" t="s">
        <v>193</v>
      </c>
      <c r="E19" s="37">
        <v>18</v>
      </c>
      <c r="F19" s="44">
        <v>18</v>
      </c>
      <c r="G19" s="43" t="s">
        <v>197</v>
      </c>
      <c r="H19" s="44" t="s">
        <v>67</v>
      </c>
      <c r="I19" s="37" t="s">
        <v>63</v>
      </c>
      <c r="J19" s="37" t="s">
        <v>65</v>
      </c>
      <c r="K19" s="37" t="s">
        <v>65</v>
      </c>
      <c r="L19" s="37" t="s">
        <v>65</v>
      </c>
      <c r="M19" s="37" t="s">
        <v>65</v>
      </c>
      <c r="N19" s="37" t="s">
        <v>65</v>
      </c>
      <c r="O19" s="38"/>
      <c r="P19" s="109" t="str">
        <f t="shared" si="0"/>
        <v/>
      </c>
      <c r="Q19" s="109" t="str">
        <f t="shared" si="0"/>
        <v/>
      </c>
      <c r="R19" s="109" t="str">
        <f t="shared" si="1"/>
        <v/>
      </c>
      <c r="S19" s="109">
        <f t="shared" si="18"/>
        <v>0.18</v>
      </c>
      <c r="T19" s="109">
        <f t="shared" si="19"/>
        <v>0.18</v>
      </c>
      <c r="U19" s="109">
        <f t="shared" si="20"/>
        <v>0.18</v>
      </c>
      <c r="V19" s="109">
        <f t="shared" si="21"/>
        <v>0.18</v>
      </c>
      <c r="W19" s="109">
        <f t="shared" si="22"/>
        <v>0.18</v>
      </c>
      <c r="X19" s="109" t="str">
        <f t="shared" si="13"/>
        <v/>
      </c>
      <c r="Y19" s="109" t="str">
        <f t="shared" si="14"/>
        <v/>
      </c>
      <c r="Z19" s="109" t="str">
        <f t="shared" si="15"/>
        <v/>
      </c>
      <c r="AA19" s="109" t="str">
        <f t="shared" si="16"/>
        <v/>
      </c>
      <c r="AB19" s="109" t="str">
        <f t="shared" si="17"/>
        <v/>
      </c>
      <c r="AC19" s="109" t="str">
        <f>IF(P19="","",_xlfn.RANK.EQ(P19,P$4:P$41,1)+COUNTIF(P19:P$41,P19)-1)</f>
        <v/>
      </c>
      <c r="AD19" s="109" t="str">
        <f>IF(Q19="","",_xlfn.RANK.EQ(Q19,Q$4:Q$41,1)+COUNTIF(Q19:Q$41,Q19)-1)</f>
        <v/>
      </c>
      <c r="AE19" s="109" t="str">
        <f>IF(R19="","",_xlfn.RANK.EQ(R19,R$4:R$41,1)+COUNTIF(R19:R$41,R19)-1)</f>
        <v/>
      </c>
      <c r="AF19" s="109">
        <f>IF(S19="","",_xlfn.RANK.EQ(S19,S$4:S$39,1)+COUNTIF(S19:S$39,S19)-1)</f>
        <v>9</v>
      </c>
      <c r="AG19" s="109">
        <f>IF(T19="","",_xlfn.RANK.EQ(T19,T$4:T$39,1)+COUNTIF(T19:T$39,T19)-1)</f>
        <v>9</v>
      </c>
      <c r="AH19" s="109">
        <f>IF(U19="","",_xlfn.RANK.EQ(U19,U$4:U$39,1)+COUNTIF(U19:U$39,U19)-1)</f>
        <v>9</v>
      </c>
      <c r="AI19" s="109">
        <f>IF(V19="","",_xlfn.RANK.EQ(V19,V$4:V$39,1)+COUNTIF(V19:V$39,V19)-1)</f>
        <v>9</v>
      </c>
      <c r="AJ19" s="109">
        <f>IF(W19="","",_xlfn.RANK.EQ(W19,W$4:W$39,1)+COUNTIF(W19:W$39,W19)-1)</f>
        <v>8</v>
      </c>
      <c r="AK19" s="109" t="str">
        <f>IF(X19="","",_xlfn.RANK.EQ(X19,X$4:X$41,1)+COUNTIF(X19:X$41,X19)-1)</f>
        <v/>
      </c>
      <c r="AL19" s="109" t="str">
        <f>IF(Y19="","",_xlfn.RANK.EQ(Y19,Y$4:Y$41,1)+COUNTIF(Y19:Y$41,Y19)-1)</f>
        <v/>
      </c>
      <c r="AM19" s="109" t="str">
        <f>IF(Z19="","",_xlfn.RANK.EQ(Z19,Z$4:Z$41,1)+COUNTIF(Z19:Z$41,Z19)-1)</f>
        <v/>
      </c>
      <c r="AN19" s="109" t="str">
        <f>IF(AA19="","",_xlfn.RANK.EQ(AA19,AA$4:AA$41,1)+COUNTIF(AA19:AA$41,AA19)-1)</f>
        <v/>
      </c>
      <c r="AO19" s="109" t="str">
        <f>IF(AB19="","",_xlfn.RANK.EQ(AB19,AB$4:AB$41,1)+COUNTIF(AB19:AB$41,AB19)-1)</f>
        <v/>
      </c>
    </row>
    <row r="20" spans="1:41" ht="12.75" customHeight="1">
      <c r="A20" s="73"/>
      <c r="B20" s="37" t="s">
        <v>54</v>
      </c>
      <c r="C20" s="37">
        <v>7</v>
      </c>
      <c r="D20" s="37" t="s">
        <v>193</v>
      </c>
      <c r="E20" s="37">
        <v>18</v>
      </c>
      <c r="F20" s="37">
        <v>18</v>
      </c>
      <c r="G20" s="38" t="s">
        <v>197</v>
      </c>
      <c r="H20" s="37" t="s">
        <v>67</v>
      </c>
      <c r="I20" s="37" t="s">
        <v>63</v>
      </c>
      <c r="J20" s="37" t="s">
        <v>8</v>
      </c>
      <c r="K20" s="37" t="s">
        <v>8</v>
      </c>
      <c r="L20" s="37" t="s">
        <v>8</v>
      </c>
      <c r="M20" s="37" t="s">
        <v>8</v>
      </c>
      <c r="N20" s="37" t="s">
        <v>8</v>
      </c>
      <c r="O20" s="38"/>
      <c r="P20" s="109" t="str">
        <f t="shared" si="0"/>
        <v/>
      </c>
      <c r="Q20" s="109" t="str">
        <f t="shared" si="0"/>
        <v/>
      </c>
      <c r="R20" s="109" t="str">
        <f t="shared" si="1"/>
        <v/>
      </c>
      <c r="S20" s="109" t="str">
        <f>IF(J20="AM",IF($F20&gt;14,$F20/100,$F20),"")</f>
        <v/>
      </c>
      <c r="T20" s="109" t="str">
        <f t="shared" si="19"/>
        <v/>
      </c>
      <c r="U20" s="109" t="str">
        <f t="shared" si="20"/>
        <v/>
      </c>
      <c r="V20" s="109" t="str">
        <f t="shared" si="21"/>
        <v/>
      </c>
      <c r="W20" s="109" t="str">
        <f t="shared" si="22"/>
        <v/>
      </c>
      <c r="X20" s="109">
        <f t="shared" si="13"/>
        <v>0.18</v>
      </c>
      <c r="Y20" s="109">
        <f t="shared" si="14"/>
        <v>0.18</v>
      </c>
      <c r="Z20" s="109">
        <f t="shared" si="15"/>
        <v>0.18</v>
      </c>
      <c r="AA20" s="109">
        <f t="shared" si="16"/>
        <v>0.18</v>
      </c>
      <c r="AB20" s="109">
        <f t="shared" si="17"/>
        <v>0.18</v>
      </c>
      <c r="AC20" s="109" t="str">
        <f>IF(P20="","",_xlfn.RANK.EQ(P20,P$4:P$41,1)+COUNTIF(P20:P$41,P20)-1)</f>
        <v/>
      </c>
      <c r="AD20" s="109" t="str">
        <f>IF(Q20="","",_xlfn.RANK.EQ(Q20,Q$4:Q$41,1)+COUNTIF(Q20:Q$41,Q20)-1)</f>
        <v/>
      </c>
      <c r="AE20" s="109" t="str">
        <f>IF(R20="","",_xlfn.RANK.EQ(R20,R$4:R$41,1)+COUNTIF(R20:R$41,R20)-1)</f>
        <v/>
      </c>
      <c r="AF20" s="109" t="str">
        <f>IF(S20="","",_xlfn.RANK.EQ(S20,S$4:S$39,1)+COUNTIF(S20:S$39,S20)-1)</f>
        <v/>
      </c>
      <c r="AG20" s="109" t="str">
        <f>IF(T20="","",_xlfn.RANK.EQ(T20,T$4:T$39,1)+COUNTIF(T20:T$39,T20)-1)</f>
        <v/>
      </c>
      <c r="AH20" s="109" t="str">
        <f>IF(U20="","",_xlfn.RANK.EQ(U20,U$4:U$39,1)+COUNTIF(U20:U$39,U20)-1)</f>
        <v/>
      </c>
      <c r="AI20" s="109" t="str">
        <f>IF(V20="","",_xlfn.RANK.EQ(V20,V$4:V$39,1)+COUNTIF(V20:V$39,V20)-1)</f>
        <v/>
      </c>
      <c r="AJ20" s="109" t="str">
        <f>IF(W20="","",_xlfn.RANK.EQ(W20,W$4:W$39,1)+COUNTIF(W20:W$39,W20)-1)</f>
        <v/>
      </c>
      <c r="AK20" s="109">
        <f>IF(X20="","",_xlfn.RANK.EQ(X20,X$4:X$41,1)+COUNTIF(X20:X$41,X20)-1)</f>
        <v>9</v>
      </c>
      <c r="AL20" s="109">
        <f>IF(Y20="","",_xlfn.RANK.EQ(Y20,Y$4:Y$41,1)+COUNTIF(Y20:Y$41,Y20)-1)</f>
        <v>7</v>
      </c>
      <c r="AM20" s="109">
        <f>IF(Z20="","",_xlfn.RANK.EQ(Z20,Z$4:Z$41,1)+COUNTIF(Z20:Z$41,Z20)-1)</f>
        <v>8</v>
      </c>
      <c r="AN20" s="109">
        <f>IF(AA20="","",_xlfn.RANK.EQ(AA20,AA$4:AA$41,1)+COUNTIF(AA20:AA$41,AA20)-1)</f>
        <v>7</v>
      </c>
      <c r="AO20" s="109">
        <f>IF(AB20="","",_xlfn.RANK.EQ(AB20,AB$4:AB$41,1)+COUNTIF(AB20:AB$41,AB20)-1)</f>
        <v>9</v>
      </c>
    </row>
    <row r="21" spans="1:41" ht="12.75" customHeight="1">
      <c r="A21" s="73"/>
      <c r="B21" s="37" t="s">
        <v>54</v>
      </c>
      <c r="C21" s="37">
        <v>5</v>
      </c>
      <c r="D21" s="37" t="s">
        <v>134</v>
      </c>
      <c r="E21" s="37">
        <v>18</v>
      </c>
      <c r="F21" s="37">
        <v>18</v>
      </c>
      <c r="G21" s="38" t="s">
        <v>131</v>
      </c>
      <c r="H21" s="37" t="s">
        <v>44</v>
      </c>
      <c r="I21" s="37" t="s">
        <v>176</v>
      </c>
      <c r="J21" s="37" t="s">
        <v>8</v>
      </c>
      <c r="K21" s="37"/>
      <c r="L21" s="37"/>
      <c r="M21" s="37"/>
      <c r="N21" s="37" t="s">
        <v>8</v>
      </c>
      <c r="O21" s="38"/>
      <c r="P21" s="109" t="str">
        <f t="shared" si="0"/>
        <v/>
      </c>
      <c r="Q21" s="109" t="str">
        <f t="shared" si="0"/>
        <v/>
      </c>
      <c r="R21" s="109" t="str">
        <f t="shared" si="1"/>
        <v/>
      </c>
      <c r="S21" s="109" t="str">
        <f t="shared" ref="S21:S32" si="23">IF(J21="AM",IF($F21&gt;14,$F21/100,$F21),"")</f>
        <v/>
      </c>
      <c r="T21" s="109" t="str">
        <f t="shared" si="19"/>
        <v/>
      </c>
      <c r="U21" s="109" t="str">
        <f t="shared" si="20"/>
        <v/>
      </c>
      <c r="V21" s="109" t="str">
        <f t="shared" si="21"/>
        <v/>
      </c>
      <c r="W21" s="109" t="str">
        <f t="shared" si="22"/>
        <v/>
      </c>
      <c r="X21" s="109">
        <f t="shared" si="13"/>
        <v>0.18</v>
      </c>
      <c r="Y21" s="109" t="str">
        <f t="shared" si="14"/>
        <v/>
      </c>
      <c r="Z21" s="109" t="str">
        <f t="shared" si="15"/>
        <v/>
      </c>
      <c r="AA21" s="109" t="str">
        <f t="shared" si="16"/>
        <v/>
      </c>
      <c r="AB21" s="109">
        <f t="shared" si="17"/>
        <v>0.18</v>
      </c>
      <c r="AC21" s="109" t="str">
        <f>IF(P21="","",_xlfn.RANK.EQ(P21,P$4:P$41,1)+COUNTIF(P21:P$41,P21)-1)</f>
        <v/>
      </c>
      <c r="AD21" s="109" t="str">
        <f>IF(Q21="","",_xlfn.RANK.EQ(Q21,Q$4:Q$41,1)+COUNTIF(Q21:Q$41,Q21)-1)</f>
        <v/>
      </c>
      <c r="AE21" s="109" t="str">
        <f>IF(R21="","",_xlfn.RANK.EQ(R21,R$4:R$41,1)+COUNTIF(R21:R$41,R21)-1)</f>
        <v/>
      </c>
      <c r="AF21" s="109" t="str">
        <f>IF(S21="","",_xlfn.RANK.EQ(S21,S$4:S$39,1)+COUNTIF(S21:S$39,S21)-1)</f>
        <v/>
      </c>
      <c r="AG21" s="109" t="str">
        <f>IF(T21="","",_xlfn.RANK.EQ(T21,T$4:T$39,1)+COUNTIF(T21:T$39,T21)-1)</f>
        <v/>
      </c>
      <c r="AH21" s="109" t="str">
        <f>IF(U21="","",_xlfn.RANK.EQ(U21,U$4:U$39,1)+COUNTIF(U21:U$39,U21)-1)</f>
        <v/>
      </c>
      <c r="AI21" s="109" t="str">
        <f>IF(V21="","",_xlfn.RANK.EQ(V21,V$4:V$39,1)+COUNTIF(V21:V$39,V21)-1)</f>
        <v/>
      </c>
      <c r="AJ21" s="109" t="str">
        <f>IF(W21="","",_xlfn.RANK.EQ(W21,W$4:W$39,1)+COUNTIF(W21:W$39,W21)-1)</f>
        <v/>
      </c>
      <c r="AK21" s="109">
        <f>IF(X21="","",_xlfn.RANK.EQ(X21,X$4:X$41,1)+COUNTIF(X21:X$41,X21)-1)</f>
        <v>8</v>
      </c>
      <c r="AL21" s="109" t="str">
        <f>IF(Y21="","",_xlfn.RANK.EQ(Y21,Y$4:Y$41,1)+COUNTIF(Y21:Y$41,Y21)-1)</f>
        <v/>
      </c>
      <c r="AM21" s="109" t="str">
        <f>IF(Z21="","",_xlfn.RANK.EQ(Z21,Z$4:Z$41,1)+COUNTIF(Z21:Z$41,Z21)-1)</f>
        <v/>
      </c>
      <c r="AN21" s="109" t="str">
        <f>IF(AA21="","",_xlfn.RANK.EQ(AA21,AA$4:AA$41,1)+COUNTIF(AA21:AA$41,AA21)-1)</f>
        <v/>
      </c>
      <c r="AO21" s="109">
        <f>IF(AB21="","",_xlfn.RANK.EQ(AB21,AB$4:AB$41,1)+COUNTIF(AB21:AB$41,AB21)-1)</f>
        <v>8</v>
      </c>
    </row>
    <row r="22" spans="1:41" ht="12.75" customHeight="1">
      <c r="A22" s="73"/>
      <c r="B22" s="37" t="s">
        <v>27</v>
      </c>
      <c r="C22" s="37">
        <v>7</v>
      </c>
      <c r="D22" s="37" t="s">
        <v>163</v>
      </c>
      <c r="E22" s="37">
        <v>17</v>
      </c>
      <c r="F22" s="37">
        <v>17</v>
      </c>
      <c r="G22" s="38" t="s">
        <v>157</v>
      </c>
      <c r="H22" s="37" t="s">
        <v>67</v>
      </c>
      <c r="I22" s="37" t="s">
        <v>63</v>
      </c>
      <c r="J22" s="37" t="s">
        <v>65</v>
      </c>
      <c r="K22" s="37" t="s">
        <v>65</v>
      </c>
      <c r="L22" s="37" t="s">
        <v>65</v>
      </c>
      <c r="M22" s="37" t="s">
        <v>65</v>
      </c>
      <c r="N22" s="37" t="s">
        <v>65</v>
      </c>
      <c r="O22" s="38"/>
      <c r="P22" s="109" t="str">
        <f>IF($I22=P$3,IF($F22&gt;14,$F22/100,$F22),"")</f>
        <v/>
      </c>
      <c r="Q22" s="109" t="str">
        <f>IF($I22=Q$3,IF($F22&gt;14,$F22/100,$F22),"")</f>
        <v/>
      </c>
      <c r="R22" s="109" t="str">
        <f>IF($I22=R$3,$F22,"")</f>
        <v/>
      </c>
      <c r="S22" s="109">
        <f t="shared" si="23"/>
        <v>0.17</v>
      </c>
      <c r="T22" s="109">
        <f t="shared" si="19"/>
        <v>0.17</v>
      </c>
      <c r="U22" s="109">
        <f t="shared" si="20"/>
        <v>0.17</v>
      </c>
      <c r="V22" s="109">
        <f t="shared" si="21"/>
        <v>0.17</v>
      </c>
      <c r="W22" s="109">
        <f t="shared" si="22"/>
        <v>0.17</v>
      </c>
      <c r="X22" s="109" t="str">
        <f t="shared" si="13"/>
        <v/>
      </c>
      <c r="Y22" s="109" t="str">
        <f t="shared" si="14"/>
        <v/>
      </c>
      <c r="Z22" s="109" t="str">
        <f t="shared" si="15"/>
        <v/>
      </c>
      <c r="AA22" s="109" t="str">
        <f t="shared" si="16"/>
        <v/>
      </c>
      <c r="AB22" s="109" t="str">
        <f t="shared" si="17"/>
        <v/>
      </c>
      <c r="AC22" s="109" t="str">
        <f>IF(P22="","",_xlfn.RANK.EQ(P22,P$4:P$41,1)+COUNTIF(P22:P$41,P22)-1)</f>
        <v/>
      </c>
      <c r="AD22" s="109" t="str">
        <f>IF(Q22="","",_xlfn.RANK.EQ(Q22,Q$4:Q$41,1)+COUNTIF(Q22:Q$41,Q22)-1)</f>
        <v/>
      </c>
      <c r="AE22" s="109" t="str">
        <f>IF(R22="","",_xlfn.RANK.EQ(R22,R$4:R$41,1)+COUNTIF(R22:R$41,R22)-1)</f>
        <v/>
      </c>
      <c r="AF22" s="109">
        <f>IF(S22="","",_xlfn.RANK.EQ(S22,S$4:S$39,1)+COUNTIF(S22:S$39,S22)-1)</f>
        <v>6</v>
      </c>
      <c r="AG22" s="109">
        <f>IF(T22="","",_xlfn.RANK.EQ(T22,T$4:T$39,1)+COUNTIF(T22:T$39,T22)-1)</f>
        <v>6</v>
      </c>
      <c r="AH22" s="109">
        <f>IF(U22="","",_xlfn.RANK.EQ(U22,U$4:U$39,1)+COUNTIF(U22:U$39,U22)-1)</f>
        <v>6</v>
      </c>
      <c r="AI22" s="109">
        <f>IF(V22="","",_xlfn.RANK.EQ(V22,V$4:V$39,1)+COUNTIF(V22:V$39,V22)-1)</f>
        <v>6</v>
      </c>
      <c r="AJ22" s="109">
        <f>IF(W22="","",_xlfn.RANK.EQ(W22,W$4:W$39,1)+COUNTIF(W22:W$39,W22)-1)</f>
        <v>5</v>
      </c>
      <c r="AK22" s="109" t="str">
        <f>IF(X22="","",_xlfn.RANK.EQ(X22,X$4:X$41,1)+COUNTIF(X22:X$41,X22)-1)</f>
        <v/>
      </c>
      <c r="AL22" s="109" t="str">
        <f>IF(Y22="","",_xlfn.RANK.EQ(Y22,Y$4:Y$41,1)+COUNTIF(Y22:Y$41,Y22)-1)</f>
        <v/>
      </c>
      <c r="AM22" s="109" t="str">
        <f>IF(Z22="","",_xlfn.RANK.EQ(Z22,Z$4:Z$41,1)+COUNTIF(Z22:Z$41,Z22)-1)</f>
        <v/>
      </c>
      <c r="AN22" s="109" t="str">
        <f>IF(AA22="","",_xlfn.RANK.EQ(AA22,AA$4:AA$41,1)+COUNTIF(AA22:AA$41,AA22)-1)</f>
        <v/>
      </c>
      <c r="AO22" s="109" t="str">
        <f>IF(AB22="","",_xlfn.RANK.EQ(AB22,AB$4:AB$41,1)+COUNTIF(AB22:AB$41,AB22)-1)</f>
        <v/>
      </c>
    </row>
    <row r="23" spans="1:41" ht="12.75" customHeight="1">
      <c r="A23" s="73"/>
      <c r="B23" s="37" t="s">
        <v>54</v>
      </c>
      <c r="C23" s="37">
        <v>7</v>
      </c>
      <c r="D23" s="37" t="s">
        <v>163</v>
      </c>
      <c r="E23" s="37">
        <v>17</v>
      </c>
      <c r="F23" s="37">
        <v>17</v>
      </c>
      <c r="G23" s="38" t="s">
        <v>157</v>
      </c>
      <c r="H23" s="37" t="s">
        <v>67</v>
      </c>
      <c r="I23" s="37"/>
      <c r="J23" s="37" t="s">
        <v>8</v>
      </c>
      <c r="K23" s="37" t="s">
        <v>8</v>
      </c>
      <c r="L23" s="37" t="s">
        <v>8</v>
      </c>
      <c r="M23" s="37" t="s">
        <v>8</v>
      </c>
      <c r="N23" s="37" t="s">
        <v>8</v>
      </c>
      <c r="O23" s="38"/>
      <c r="P23" s="109" t="str">
        <f>IF($I23=P$3,IF($F23&gt;14,$F23/100,$F23),"")</f>
        <v/>
      </c>
      <c r="Q23" s="109" t="str">
        <f>IF($I23=Q$3,IF($F23&gt;14,$F23/100,$F23),"")</f>
        <v/>
      </c>
      <c r="R23" s="109" t="str">
        <f>IF($I23=R$3,$F23,"")</f>
        <v/>
      </c>
      <c r="S23" s="109" t="str">
        <f t="shared" si="23"/>
        <v/>
      </c>
      <c r="T23" s="109" t="str">
        <f t="shared" si="19"/>
        <v/>
      </c>
      <c r="U23" s="109" t="str">
        <f t="shared" si="20"/>
        <v/>
      </c>
      <c r="V23" s="109" t="str">
        <f t="shared" si="21"/>
        <v/>
      </c>
      <c r="W23" s="109" t="str">
        <f t="shared" si="22"/>
        <v/>
      </c>
      <c r="X23" s="109">
        <f t="shared" si="13"/>
        <v>0.17</v>
      </c>
      <c r="Y23" s="109">
        <f t="shared" si="14"/>
        <v>0.17</v>
      </c>
      <c r="Z23" s="109">
        <f t="shared" si="15"/>
        <v>0.17</v>
      </c>
      <c r="AA23" s="109">
        <f t="shared" si="16"/>
        <v>0.17</v>
      </c>
      <c r="AB23" s="109">
        <f t="shared" si="17"/>
        <v>0.17</v>
      </c>
      <c r="AC23" s="109" t="str">
        <f>IF(P23="","",_xlfn.RANK.EQ(P23,P$4:P$41,1)+COUNTIF(P23:P$41,P23)-1)</f>
        <v/>
      </c>
      <c r="AD23" s="109" t="str">
        <f>IF(Q23="","",_xlfn.RANK.EQ(Q23,Q$4:Q$41,1)+COUNTIF(Q23:Q$41,Q23)-1)</f>
        <v/>
      </c>
      <c r="AE23" s="109" t="str">
        <f>IF(R23="","",_xlfn.RANK.EQ(R23,R$4:R$41,1)+COUNTIF(R23:R$41,R23)-1)</f>
        <v/>
      </c>
      <c r="AF23" s="109" t="str">
        <f>IF(S23="","",_xlfn.RANK.EQ(S23,S$4:S$39,1)+COUNTIF(S23:S$39,S23)-1)</f>
        <v/>
      </c>
      <c r="AG23" s="109" t="str">
        <f>IF(T23="","",_xlfn.RANK.EQ(T23,T$4:T$39,1)+COUNTIF(T23:T$39,T23)-1)</f>
        <v/>
      </c>
      <c r="AH23" s="109" t="str">
        <f>IF(U23="","",_xlfn.RANK.EQ(U23,U$4:U$39,1)+COUNTIF(U23:U$39,U23)-1)</f>
        <v/>
      </c>
      <c r="AI23" s="109" t="str">
        <f>IF(V23="","",_xlfn.RANK.EQ(V23,V$4:V$39,1)+COUNTIF(V23:V$39,V23)-1)</f>
        <v/>
      </c>
      <c r="AJ23" s="109" t="str">
        <f>IF(W23="","",_xlfn.RANK.EQ(W23,W$4:W$39,1)+COUNTIF(W23:W$39,W23)-1)</f>
        <v/>
      </c>
      <c r="AK23" s="109">
        <f>IF(X23="","",_xlfn.RANK.EQ(X23,X$4:X$41,1)+COUNTIF(X23:X$41,X23)-1)</f>
        <v>6</v>
      </c>
      <c r="AL23" s="109">
        <f>IF(Y23="","",_xlfn.RANK.EQ(Y23,Y$4:Y$41,1)+COUNTIF(Y23:Y$41,Y23)-1)</f>
        <v>5</v>
      </c>
      <c r="AM23" s="109">
        <f>IF(Z23="","",_xlfn.RANK.EQ(Z23,Z$4:Z$41,1)+COUNTIF(Z23:Z$41,Z23)-1)</f>
        <v>6</v>
      </c>
      <c r="AN23" s="109">
        <f>IF(AA23="","",_xlfn.RANK.EQ(AA23,AA$4:AA$41,1)+COUNTIF(AA23:AA$41,AA23)-1)</f>
        <v>5</v>
      </c>
      <c r="AO23" s="109">
        <f>IF(AB23="","",_xlfn.RANK.EQ(AB23,AB$4:AB$41,1)+COUNTIF(AB23:AB$41,AB23)-1)</f>
        <v>6</v>
      </c>
    </row>
    <row r="24" spans="1:41" ht="12.75" customHeight="1">
      <c r="A24" s="73"/>
      <c r="B24" s="37" t="s">
        <v>27</v>
      </c>
      <c r="C24" s="37">
        <v>34</v>
      </c>
      <c r="D24" s="37" t="s">
        <v>125</v>
      </c>
      <c r="E24" s="37">
        <v>20</v>
      </c>
      <c r="F24" s="37">
        <v>20</v>
      </c>
      <c r="G24" s="162" t="s">
        <v>165</v>
      </c>
      <c r="H24" s="37" t="s">
        <v>67</v>
      </c>
      <c r="I24" s="37" t="s">
        <v>63</v>
      </c>
      <c r="J24" s="37" t="s">
        <v>8</v>
      </c>
      <c r="K24" s="37" t="s">
        <v>8</v>
      </c>
      <c r="L24" s="37" t="s">
        <v>8</v>
      </c>
      <c r="M24" s="37" t="s">
        <v>8</v>
      </c>
      <c r="N24" s="37" t="s">
        <v>8</v>
      </c>
      <c r="O24" s="38"/>
      <c r="P24" s="109" t="str">
        <f t="shared" ref="P24:Q37" si="24">IF($I24=P$3,IF($F24&gt;14,$F24/100,$F24),"")</f>
        <v/>
      </c>
      <c r="Q24" s="109" t="str">
        <f t="shared" si="24"/>
        <v/>
      </c>
      <c r="R24" s="109" t="str">
        <f t="shared" si="1"/>
        <v/>
      </c>
      <c r="S24" s="109" t="str">
        <f t="shared" si="23"/>
        <v/>
      </c>
      <c r="T24" s="109" t="str">
        <f t="shared" si="19"/>
        <v/>
      </c>
      <c r="U24" s="109" t="str">
        <f t="shared" si="20"/>
        <v/>
      </c>
      <c r="V24" s="109" t="str">
        <f t="shared" si="21"/>
        <v/>
      </c>
      <c r="W24" s="109" t="str">
        <f t="shared" si="22"/>
        <v/>
      </c>
      <c r="X24" s="109">
        <f t="shared" si="13"/>
        <v>0.2</v>
      </c>
      <c r="Y24" s="109">
        <f t="shared" si="14"/>
        <v>0.2</v>
      </c>
      <c r="Z24" s="109">
        <f t="shared" si="15"/>
        <v>0.2</v>
      </c>
      <c r="AA24" s="109">
        <f t="shared" si="16"/>
        <v>0.2</v>
      </c>
      <c r="AB24" s="109">
        <f t="shared" si="17"/>
        <v>0.2</v>
      </c>
      <c r="AC24" s="109" t="str">
        <f>IF(P24="","",_xlfn.RANK.EQ(P24,P$4:P$41,1)+COUNTIF(P24:P$41,P24)-1)</f>
        <v/>
      </c>
      <c r="AD24" s="109" t="str">
        <f>IF(Q24="","",_xlfn.RANK.EQ(Q24,Q$4:Q$41,1)+COUNTIF(Q24:Q$41,Q24)-1)</f>
        <v/>
      </c>
      <c r="AE24" s="109" t="str">
        <f>IF(R24="","",_xlfn.RANK.EQ(R24,R$4:R$41,1)+COUNTIF(R24:R$41,R24)-1)</f>
        <v/>
      </c>
      <c r="AF24" s="109" t="str">
        <f>IF(S24="","",_xlfn.RANK.EQ(S24,S$4:S$39,1)+COUNTIF(S24:S$39,S24)-1)</f>
        <v/>
      </c>
      <c r="AG24" s="109" t="str">
        <f>IF(T24="","",_xlfn.RANK.EQ(T24,T$4:T$39,1)+COUNTIF(T24:T$39,T24)-1)</f>
        <v/>
      </c>
      <c r="AH24" s="109" t="str">
        <f>IF(U24="","",_xlfn.RANK.EQ(U24,U$4:U$39,1)+COUNTIF(U24:U$39,U24)-1)</f>
        <v/>
      </c>
      <c r="AI24" s="109" t="str">
        <f>IF(V24="","",_xlfn.RANK.EQ(V24,V$4:V$39,1)+COUNTIF(V24:V$39,V24)-1)</f>
        <v/>
      </c>
      <c r="AJ24" s="109" t="str">
        <f>IF(W24="","",_xlfn.RANK.EQ(W24,W$4:W$39,1)+COUNTIF(W24:W$39,W24)-1)</f>
        <v/>
      </c>
      <c r="AK24" s="109">
        <f>IF(X24="","",_xlfn.RANK.EQ(X24,X$4:X$41,1)+COUNTIF(X24:X$41,X24)-1)</f>
        <v>11</v>
      </c>
      <c r="AL24" s="109">
        <f>IF(Y24="","",_xlfn.RANK.EQ(Y24,Y$4:Y$41,1)+COUNTIF(Y24:Y$41,Y24)-1)</f>
        <v>9</v>
      </c>
      <c r="AM24" s="109">
        <f>IF(Z24="","",_xlfn.RANK.EQ(Z24,Z$4:Z$41,1)+COUNTIF(Z24:Z$41,Z24)-1)</f>
        <v>10</v>
      </c>
      <c r="AN24" s="109">
        <f>IF(AA24="","",_xlfn.RANK.EQ(AA24,AA$4:AA$41,1)+COUNTIF(AA24:AA$41,AA24)-1)</f>
        <v>9</v>
      </c>
      <c r="AO24" s="109">
        <f>IF(AB24="","",_xlfn.RANK.EQ(AB24,AB$4:AB$41,1)+COUNTIF(AB24:AB$41,AB24)-1)</f>
        <v>11</v>
      </c>
    </row>
    <row r="25" spans="1:41" ht="12.75" customHeight="1">
      <c r="A25" s="73"/>
      <c r="B25" s="37" t="s">
        <v>27</v>
      </c>
      <c r="C25" s="37">
        <v>41</v>
      </c>
      <c r="D25" s="37" t="s">
        <v>125</v>
      </c>
      <c r="E25" s="37">
        <v>18</v>
      </c>
      <c r="F25" s="37">
        <v>18</v>
      </c>
      <c r="G25" s="164" t="s">
        <v>202</v>
      </c>
      <c r="H25" s="37" t="s">
        <v>67</v>
      </c>
      <c r="I25" s="37" t="s">
        <v>57</v>
      </c>
      <c r="J25" s="37" t="s">
        <v>43</v>
      </c>
      <c r="K25" s="37" t="s">
        <v>43</v>
      </c>
      <c r="L25" s="37" t="s">
        <v>43</v>
      </c>
      <c r="M25" s="37" t="s">
        <v>43</v>
      </c>
      <c r="N25" s="37" t="s">
        <v>43</v>
      </c>
      <c r="O25" s="38" t="s">
        <v>190</v>
      </c>
      <c r="P25" s="109">
        <f t="shared" ref="P25:Q28" si="25">IF($I25=P$3,IF($F25&gt;14,$F25/100,$F25),"")</f>
        <v>0.18</v>
      </c>
      <c r="Q25" s="109" t="str">
        <f t="shared" si="25"/>
        <v/>
      </c>
      <c r="R25" s="109" t="str">
        <f>IF($I25=R$3,$F25,"")</f>
        <v/>
      </c>
      <c r="S25" s="109" t="str">
        <f t="shared" si="23"/>
        <v/>
      </c>
      <c r="T25" s="109" t="str">
        <f t="shared" si="19"/>
        <v/>
      </c>
      <c r="U25" s="109" t="str">
        <f t="shared" si="20"/>
        <v/>
      </c>
      <c r="V25" s="109" t="str">
        <f t="shared" si="21"/>
        <v/>
      </c>
      <c r="W25" s="109" t="str">
        <f t="shared" si="22"/>
        <v/>
      </c>
      <c r="X25" s="109" t="str">
        <f t="shared" si="13"/>
        <v/>
      </c>
      <c r="Y25" s="109" t="str">
        <f t="shared" si="14"/>
        <v/>
      </c>
      <c r="Z25" s="109" t="str">
        <f t="shared" si="15"/>
        <v/>
      </c>
      <c r="AA25" s="109" t="str">
        <f t="shared" si="16"/>
        <v/>
      </c>
      <c r="AB25" s="109" t="str">
        <f t="shared" si="17"/>
        <v/>
      </c>
      <c r="AC25" s="109">
        <f>IF(P25="","",_xlfn.RANK.EQ(P25,P$4:P$41,1)+COUNTIF(P25:P$41,P25)-1)</f>
        <v>1</v>
      </c>
      <c r="AD25" s="109" t="str">
        <f>IF(Q25="","",_xlfn.RANK.EQ(Q25,Q$4:Q$41,1)+COUNTIF(Q25:Q$41,Q25)-1)</f>
        <v/>
      </c>
      <c r="AE25" s="109" t="str">
        <f>IF(R25="","",_xlfn.RANK.EQ(R25,R$4:R$41,1)+COUNTIF(R25:R$41,R25)-1)</f>
        <v/>
      </c>
      <c r="AF25" s="109" t="str">
        <f>IF(S25="","",_xlfn.RANK.EQ(S25,S$4:S$39,1)+COUNTIF(S25:S$39,S25)-1)</f>
        <v/>
      </c>
      <c r="AG25" s="109" t="str">
        <f>IF(T25="","",_xlfn.RANK.EQ(T25,T$4:T$39,1)+COUNTIF(T25:T$39,T25)-1)</f>
        <v/>
      </c>
      <c r="AH25" s="109" t="str">
        <f>IF(U25="","",_xlfn.RANK.EQ(U25,U$4:U$39,1)+COUNTIF(U25:U$39,U25)-1)</f>
        <v/>
      </c>
      <c r="AI25" s="109" t="str">
        <f>IF(V25="","",_xlfn.RANK.EQ(V25,V$4:V$39,1)+COUNTIF(V25:V$39,V25)-1)</f>
        <v/>
      </c>
      <c r="AJ25" s="109" t="str">
        <f>IF(W25="","",_xlfn.RANK.EQ(W25,W$4:W$39,1)+COUNTIF(W25:W$39,W25)-1)</f>
        <v/>
      </c>
      <c r="AK25" s="109" t="str">
        <f>IF(X25="","",_xlfn.RANK.EQ(X25,X$4:X$41,1)+COUNTIF(X25:X$41,X25)-1)</f>
        <v/>
      </c>
      <c r="AL25" s="109" t="str">
        <f>IF(Y25="","",_xlfn.RANK.EQ(Y25,Y$4:Y$41,1)+COUNTIF(Y25:Y$41,Y25)-1)</f>
        <v/>
      </c>
      <c r="AM25" s="109" t="str">
        <f>IF(Z25="","",_xlfn.RANK.EQ(Z25,Z$4:Z$41,1)+COUNTIF(Z25:Z$41,Z25)-1)</f>
        <v/>
      </c>
      <c r="AN25" s="109" t="str">
        <f>IF(AA25="","",_xlfn.RANK.EQ(AA25,AA$4:AA$41,1)+COUNTIF(AA25:AA$41,AA25)-1)</f>
        <v/>
      </c>
      <c r="AO25" s="109" t="str">
        <f>IF(AB25="","",_xlfn.RANK.EQ(AB25,AB$4:AB$41,1)+COUNTIF(AB25:AB$41,AB25)-1)</f>
        <v/>
      </c>
    </row>
    <row r="26" spans="1:41" ht="12.75" customHeight="1">
      <c r="A26" s="73"/>
      <c r="B26" s="37" t="s">
        <v>27</v>
      </c>
      <c r="C26" s="37">
        <v>41</v>
      </c>
      <c r="D26" s="37" t="s">
        <v>125</v>
      </c>
      <c r="E26" s="37">
        <v>18</v>
      </c>
      <c r="F26" s="37">
        <v>18</v>
      </c>
      <c r="G26" s="164" t="s">
        <v>202</v>
      </c>
      <c r="H26" s="37" t="s">
        <v>67</v>
      </c>
      <c r="I26" s="37" t="s">
        <v>63</v>
      </c>
      <c r="J26" s="37" t="s">
        <v>65</v>
      </c>
      <c r="K26" s="37" t="s">
        <v>65</v>
      </c>
      <c r="L26" s="37" t="s">
        <v>65</v>
      </c>
      <c r="M26" s="37" t="s">
        <v>65</v>
      </c>
      <c r="N26" s="37" t="s">
        <v>65</v>
      </c>
      <c r="O26" s="38"/>
      <c r="P26" s="109" t="str">
        <f t="shared" si="25"/>
        <v/>
      </c>
      <c r="Q26" s="109" t="str">
        <f t="shared" si="25"/>
        <v/>
      </c>
      <c r="R26" s="109" t="str">
        <f>IF($I26=R$3,$F26,"")</f>
        <v/>
      </c>
      <c r="S26" s="109">
        <f t="shared" si="23"/>
        <v>0.18</v>
      </c>
      <c r="T26" s="109">
        <f t="shared" ref="T26:T39" si="26">IF(K26="AM",IF($F26&gt;14,$F26/100,$F26),"")</f>
        <v>0.18</v>
      </c>
      <c r="U26" s="109">
        <f t="shared" ref="U26:U39" si="27">IF(L26="AM",IF($F26&gt;14,$F26/100,$F26),"")</f>
        <v>0.18</v>
      </c>
      <c r="V26" s="109">
        <f t="shared" ref="V26:V39" si="28">IF(M26="AM",IF($F26&gt;14,$F26/100,$F26),"")</f>
        <v>0.18</v>
      </c>
      <c r="W26" s="109">
        <f t="shared" ref="W26:W39" si="29">IF(N26="AM",IF($F26&gt;14,$F26/100,$F26),"")</f>
        <v>0.18</v>
      </c>
      <c r="X26" s="109" t="str">
        <f t="shared" si="13"/>
        <v/>
      </c>
      <c r="Y26" s="109" t="str">
        <f t="shared" si="14"/>
        <v/>
      </c>
      <c r="Z26" s="109" t="str">
        <f t="shared" si="15"/>
        <v/>
      </c>
      <c r="AA26" s="109" t="str">
        <f t="shared" si="16"/>
        <v/>
      </c>
      <c r="AB26" s="109" t="str">
        <f t="shared" si="17"/>
        <v/>
      </c>
      <c r="AC26" s="109" t="str">
        <f>IF(P26="","",_xlfn.RANK.EQ(P26,P$4:P$41,1)+COUNTIF(P26:P$41,P26)-1)</f>
        <v/>
      </c>
      <c r="AD26" s="109" t="str">
        <f>IF(Q26="","",_xlfn.RANK.EQ(Q26,Q$4:Q$41,1)+COUNTIF(Q26:Q$41,Q26)-1)</f>
        <v/>
      </c>
      <c r="AE26" s="109" t="str">
        <f>IF(R26="","",_xlfn.RANK.EQ(R26,R$4:R$41,1)+COUNTIF(R26:R$41,R26)-1)</f>
        <v/>
      </c>
      <c r="AF26" s="109">
        <f>IF(S26="","",_xlfn.RANK.EQ(S26,S$4:S$39,1)+COUNTIF(S26:S$39,S26)-1)</f>
        <v>8</v>
      </c>
      <c r="AG26" s="109">
        <f>IF(T26="","",_xlfn.RANK.EQ(T26,T$4:T$39,1)+COUNTIF(T26:T$39,T26)-1)</f>
        <v>8</v>
      </c>
      <c r="AH26" s="109">
        <f>IF(U26="","",_xlfn.RANK.EQ(U26,U$4:U$39,1)+COUNTIF(U26:U$39,U26)-1)</f>
        <v>8</v>
      </c>
      <c r="AI26" s="109">
        <f>IF(V26="","",_xlfn.RANK.EQ(V26,V$4:V$39,1)+COUNTIF(V26:V$39,V26)-1)</f>
        <v>8</v>
      </c>
      <c r="AJ26" s="109">
        <f>IF(W26="","",_xlfn.RANK.EQ(W26,W$4:W$39,1)+COUNTIF(W26:W$39,W26)-1)</f>
        <v>7</v>
      </c>
      <c r="AK26" s="109" t="str">
        <f>IF(X26="","",_xlfn.RANK.EQ(X26,X$4:X$41,1)+COUNTIF(X26:X$41,X26)-1)</f>
        <v/>
      </c>
      <c r="AL26" s="109" t="str">
        <f>IF(Y26="","",_xlfn.RANK.EQ(Y26,Y$4:Y$41,1)+COUNTIF(Y26:Y$41,Y26)-1)</f>
        <v/>
      </c>
      <c r="AM26" s="109" t="str">
        <f>IF(Z26="","",_xlfn.RANK.EQ(Z26,Z$4:Z$41,1)+COUNTIF(Z26:Z$41,Z26)-1)</f>
        <v/>
      </c>
      <c r="AN26" s="109" t="str">
        <f>IF(AA26="","",_xlfn.RANK.EQ(AA26,AA$4:AA$41,1)+COUNTIF(AA26:AA$41,AA26)-1)</f>
        <v/>
      </c>
      <c r="AO26" s="109" t="str">
        <f>IF(AB26="","",_xlfn.RANK.EQ(AB26,AB$4:AB$41,1)+COUNTIF(AB26:AB$41,AB26)-1)</f>
        <v/>
      </c>
    </row>
    <row r="27" spans="1:41" ht="12.75" customHeight="1">
      <c r="A27" s="73"/>
      <c r="B27" s="37" t="s">
        <v>27</v>
      </c>
      <c r="C27" s="37">
        <v>45</v>
      </c>
      <c r="D27" s="37" t="s">
        <v>125</v>
      </c>
      <c r="E27" s="37">
        <v>16</v>
      </c>
      <c r="F27" s="44">
        <v>16</v>
      </c>
      <c r="G27" s="161" t="s">
        <v>158</v>
      </c>
      <c r="H27" s="37" t="s">
        <v>67</v>
      </c>
      <c r="I27" s="37" t="s">
        <v>20</v>
      </c>
      <c r="J27" s="37" t="s">
        <v>7</v>
      </c>
      <c r="K27" s="37" t="s">
        <v>7</v>
      </c>
      <c r="L27" s="37" t="s">
        <v>7</v>
      </c>
      <c r="M27" s="37" t="s">
        <v>7</v>
      </c>
      <c r="N27" s="37" t="s">
        <v>7</v>
      </c>
      <c r="O27" s="38"/>
      <c r="P27" s="109" t="str">
        <f t="shared" si="25"/>
        <v/>
      </c>
      <c r="Q27" s="109">
        <f t="shared" si="25"/>
        <v>0.16</v>
      </c>
      <c r="R27" s="109" t="str">
        <f>IF($I27=R$3,$F27,"")</f>
        <v/>
      </c>
      <c r="S27" s="109" t="str">
        <f t="shared" si="23"/>
        <v/>
      </c>
      <c r="T27" s="109" t="str">
        <f t="shared" si="26"/>
        <v/>
      </c>
      <c r="U27" s="109" t="str">
        <f t="shared" si="27"/>
        <v/>
      </c>
      <c r="V27" s="109" t="str">
        <f t="shared" si="28"/>
        <v/>
      </c>
      <c r="W27" s="109" t="str">
        <f t="shared" si="29"/>
        <v/>
      </c>
      <c r="X27" s="109" t="str">
        <f t="shared" si="13"/>
        <v/>
      </c>
      <c r="Y27" s="109" t="str">
        <f t="shared" si="14"/>
        <v/>
      </c>
      <c r="Z27" s="109" t="str">
        <f t="shared" si="15"/>
        <v/>
      </c>
      <c r="AA27" s="109" t="str">
        <f t="shared" si="16"/>
        <v/>
      </c>
      <c r="AB27" s="109" t="str">
        <f t="shared" si="17"/>
        <v/>
      </c>
      <c r="AC27" s="109" t="str">
        <f>IF(P27="","",_xlfn.RANK.EQ(P27,P$4:P$41,1)+COUNTIF(P27:P$41,P27)-1)</f>
        <v/>
      </c>
      <c r="AD27" s="109">
        <f>IF(Q27="","",_xlfn.RANK.EQ(Q27,Q$4:Q$41,1)+COUNTIF(Q27:Q$41,Q27)-1)</f>
        <v>1</v>
      </c>
      <c r="AE27" s="109" t="str">
        <f>IF(R27="","",_xlfn.RANK.EQ(R27,R$4:R$41,1)+COUNTIF(R27:R$41,R27)-1)</f>
        <v/>
      </c>
      <c r="AF27" s="109" t="str">
        <f>IF(S27="","",_xlfn.RANK.EQ(S27,S$4:S$39,1)+COUNTIF(S27:S$39,S27)-1)</f>
        <v/>
      </c>
      <c r="AG27" s="109" t="str">
        <f>IF(T27="","",_xlfn.RANK.EQ(T27,T$4:T$39,1)+COUNTIF(T27:T$39,T27)-1)</f>
        <v/>
      </c>
      <c r="AH27" s="109" t="str">
        <f>IF(U27="","",_xlfn.RANK.EQ(U27,U$4:U$39,1)+COUNTIF(U27:U$39,U27)-1)</f>
        <v/>
      </c>
      <c r="AI27" s="109" t="str">
        <f>IF(V27="","",_xlfn.RANK.EQ(V27,V$4:V$39,1)+COUNTIF(V27:V$39,V27)-1)</f>
        <v/>
      </c>
      <c r="AJ27" s="109" t="str">
        <f>IF(W27="","",_xlfn.RANK.EQ(W27,W$4:W$39,1)+COUNTIF(W27:W$39,W27)-1)</f>
        <v/>
      </c>
      <c r="AK27" s="109" t="str">
        <f>IF(X27="","",_xlfn.RANK.EQ(X27,X$4:X$41,1)+COUNTIF(X27:X$41,X27)-1)</f>
        <v/>
      </c>
      <c r="AL27" s="109" t="str">
        <f>IF(Y27="","",_xlfn.RANK.EQ(Y27,Y$4:Y$41,1)+COUNTIF(Y27:Y$41,Y27)-1)</f>
        <v/>
      </c>
      <c r="AM27" s="109" t="str">
        <f>IF(Z27="","",_xlfn.RANK.EQ(Z27,Z$4:Z$41,1)+COUNTIF(Z27:Z$41,Z27)-1)</f>
        <v/>
      </c>
      <c r="AN27" s="109" t="str">
        <f>IF(AA27="","",_xlfn.RANK.EQ(AA27,AA$4:AA$41,1)+COUNTIF(AA27:AA$41,AA27)-1)</f>
        <v/>
      </c>
      <c r="AO27" s="109" t="str">
        <f>IF(AB27="","",_xlfn.RANK.EQ(AB27,AB$4:AB$41,1)+COUNTIF(AB27:AB$41,AB27)-1)</f>
        <v/>
      </c>
    </row>
    <row r="28" spans="1:41" ht="12.75" customHeight="1">
      <c r="A28" s="73"/>
      <c r="B28" s="37" t="s">
        <v>27</v>
      </c>
      <c r="C28" s="37">
        <v>45</v>
      </c>
      <c r="D28" s="37" t="s">
        <v>125</v>
      </c>
      <c r="E28" s="37">
        <v>16</v>
      </c>
      <c r="F28" s="37">
        <v>16</v>
      </c>
      <c r="G28" s="162" t="s">
        <v>158</v>
      </c>
      <c r="H28" s="37" t="s">
        <v>67</v>
      </c>
      <c r="I28" s="37" t="s">
        <v>63</v>
      </c>
      <c r="J28" s="37" t="s">
        <v>8</v>
      </c>
      <c r="K28" s="37" t="s">
        <v>8</v>
      </c>
      <c r="L28" s="37" t="s">
        <v>8</v>
      </c>
      <c r="M28" s="37" t="s">
        <v>8</v>
      </c>
      <c r="N28" s="37" t="s">
        <v>8</v>
      </c>
      <c r="O28" s="38"/>
      <c r="P28" s="109" t="str">
        <f t="shared" si="25"/>
        <v/>
      </c>
      <c r="Q28" s="109" t="str">
        <f t="shared" si="25"/>
        <v/>
      </c>
      <c r="R28" s="109" t="str">
        <f>IF($I28=R$3,$F28,"")</f>
        <v/>
      </c>
      <c r="S28" s="109" t="str">
        <f t="shared" si="23"/>
        <v/>
      </c>
      <c r="T28" s="109" t="str">
        <f t="shared" si="26"/>
        <v/>
      </c>
      <c r="U28" s="109" t="str">
        <f t="shared" si="27"/>
        <v/>
      </c>
      <c r="V28" s="109" t="str">
        <f t="shared" si="28"/>
        <v/>
      </c>
      <c r="W28" s="109" t="str">
        <f t="shared" si="29"/>
        <v/>
      </c>
      <c r="X28" s="109">
        <f t="shared" si="13"/>
        <v>0.16</v>
      </c>
      <c r="Y28" s="109">
        <f t="shared" si="14"/>
        <v>0.16</v>
      </c>
      <c r="Z28" s="109">
        <f t="shared" si="15"/>
        <v>0.16</v>
      </c>
      <c r="AA28" s="109">
        <f t="shared" si="16"/>
        <v>0.16</v>
      </c>
      <c r="AB28" s="109">
        <f t="shared" si="17"/>
        <v>0.16</v>
      </c>
      <c r="AC28" s="109" t="str">
        <f>IF(P28="","",_xlfn.RANK.EQ(P28,P$4:P$41,1)+COUNTIF(P28:P$41,P28)-1)</f>
        <v/>
      </c>
      <c r="AD28" s="109" t="str">
        <f>IF(Q28="","",_xlfn.RANK.EQ(Q28,Q$4:Q$41,1)+COUNTIF(Q28:Q$41,Q28)-1)</f>
        <v/>
      </c>
      <c r="AE28" s="109" t="str">
        <f>IF(R28="","",_xlfn.RANK.EQ(R28,R$4:R$41,1)+COUNTIF(R28:R$41,R28)-1)</f>
        <v/>
      </c>
      <c r="AF28" s="109" t="str">
        <f>IF(S28="","",_xlfn.RANK.EQ(S28,S$4:S$39,1)+COUNTIF(S28:S$39,S28)-1)</f>
        <v/>
      </c>
      <c r="AG28" s="109" t="str">
        <f>IF(T28="","",_xlfn.RANK.EQ(T28,T$4:T$39,1)+COUNTIF(T28:T$39,T28)-1)</f>
        <v/>
      </c>
      <c r="AH28" s="109" t="str">
        <f>IF(U28="","",_xlfn.RANK.EQ(U28,U$4:U$39,1)+COUNTIF(U28:U$39,U28)-1)</f>
        <v/>
      </c>
      <c r="AI28" s="109" t="str">
        <f>IF(V28="","",_xlfn.RANK.EQ(V28,V$4:V$39,1)+COUNTIF(V28:V$39,V28)-1)</f>
        <v/>
      </c>
      <c r="AJ28" s="109" t="str">
        <f>IF(W28="","",_xlfn.RANK.EQ(W28,W$4:W$39,1)+COUNTIF(W28:W$39,W28)-1)</f>
        <v/>
      </c>
      <c r="AK28" s="109">
        <f>IF(X28="","",_xlfn.RANK.EQ(X28,X$4:X$41,1)+COUNTIF(X28:X$41,X28)-1)</f>
        <v>4</v>
      </c>
      <c r="AL28" s="109">
        <f>IF(Y28="","",_xlfn.RANK.EQ(Y28,Y$4:Y$41,1)+COUNTIF(Y28:Y$41,Y28)-1)</f>
        <v>3</v>
      </c>
      <c r="AM28" s="109">
        <f>IF(Z28="","",_xlfn.RANK.EQ(Z28,Z$4:Z$41,1)+COUNTIF(Z28:Z$41,Z28)-1)</f>
        <v>4</v>
      </c>
      <c r="AN28" s="109">
        <f>IF(AA28="","",_xlfn.RANK.EQ(AA28,AA$4:AA$41,1)+COUNTIF(AA28:AA$41,AA28)-1)</f>
        <v>3</v>
      </c>
      <c r="AO28" s="109">
        <f>IF(AB28="","",_xlfn.RANK.EQ(AB28,AB$4:AB$41,1)+COUNTIF(AB28:AB$41,AB28)-1)</f>
        <v>4</v>
      </c>
    </row>
    <row r="29" spans="1:41" ht="12.75" customHeight="1">
      <c r="A29" s="73"/>
      <c r="B29" s="36" t="s">
        <v>27</v>
      </c>
      <c r="C29" s="37">
        <v>1</v>
      </c>
      <c r="D29" s="37" t="s">
        <v>3</v>
      </c>
      <c r="E29" s="37">
        <v>20</v>
      </c>
      <c r="F29" s="37">
        <v>20</v>
      </c>
      <c r="G29" s="162" t="s">
        <v>147</v>
      </c>
      <c r="H29" s="37" t="s">
        <v>44</v>
      </c>
      <c r="I29" s="37" t="s">
        <v>63</v>
      </c>
      <c r="J29" s="37" t="s">
        <v>8</v>
      </c>
      <c r="K29" s="37" t="s">
        <v>8</v>
      </c>
      <c r="L29" s="37" t="s">
        <v>8</v>
      </c>
      <c r="M29" s="37" t="s">
        <v>8</v>
      </c>
      <c r="N29" s="37" t="s">
        <v>8</v>
      </c>
      <c r="O29" s="38"/>
      <c r="P29" s="109" t="str">
        <f t="shared" si="24"/>
        <v/>
      </c>
      <c r="Q29" s="109" t="str">
        <f t="shared" si="24"/>
        <v/>
      </c>
      <c r="R29" s="109" t="str">
        <f t="shared" si="1"/>
        <v/>
      </c>
      <c r="S29" s="109" t="str">
        <f t="shared" si="23"/>
        <v/>
      </c>
      <c r="T29" s="109" t="str">
        <f t="shared" si="26"/>
        <v/>
      </c>
      <c r="U29" s="109" t="str">
        <f t="shared" si="27"/>
        <v/>
      </c>
      <c r="V29" s="109" t="str">
        <f t="shared" si="28"/>
        <v/>
      </c>
      <c r="W29" s="109" t="str">
        <f t="shared" si="29"/>
        <v/>
      </c>
      <c r="X29" s="109">
        <f t="shared" si="13"/>
        <v>0.2</v>
      </c>
      <c r="Y29" s="109">
        <f t="shared" si="14"/>
        <v>0.2</v>
      </c>
      <c r="Z29" s="109">
        <f t="shared" si="15"/>
        <v>0.2</v>
      </c>
      <c r="AA29" s="109">
        <f t="shared" si="16"/>
        <v>0.2</v>
      </c>
      <c r="AB29" s="109">
        <f t="shared" si="17"/>
        <v>0.2</v>
      </c>
      <c r="AC29" s="109" t="str">
        <f>IF(P29="","",_xlfn.RANK.EQ(P29,P$4:P$41,1)+COUNTIF(P29:P$41,P29)-1)</f>
        <v/>
      </c>
      <c r="AD29" s="109" t="str">
        <f>IF(Q29="","",_xlfn.RANK.EQ(Q29,Q$4:Q$41,1)+COUNTIF(Q29:Q$41,Q29)-1)</f>
        <v/>
      </c>
      <c r="AE29" s="109" t="str">
        <f>IF(R29="","",_xlfn.RANK.EQ(R29,R$4:R$41,1)+COUNTIF(R29:R$41,R29)-1)</f>
        <v/>
      </c>
      <c r="AF29" s="109" t="str">
        <f>IF(S29="","",_xlfn.RANK.EQ(S29,S$4:S$39,1)+COUNTIF(S29:S$39,S29)-1)</f>
        <v/>
      </c>
      <c r="AG29" s="109" t="str">
        <f>IF(T29="","",_xlfn.RANK.EQ(T29,T$4:T$39,1)+COUNTIF(T29:T$39,T29)-1)</f>
        <v/>
      </c>
      <c r="AH29" s="109" t="str">
        <f>IF(U29="","",_xlfn.RANK.EQ(U29,U$4:U$39,1)+COUNTIF(U29:U$39,U29)-1)</f>
        <v/>
      </c>
      <c r="AI29" s="109" t="str">
        <f>IF(V29="","",_xlfn.RANK.EQ(V29,V$4:V$39,1)+COUNTIF(V29:V$39,V29)-1)</f>
        <v/>
      </c>
      <c r="AJ29" s="109" t="str">
        <f>IF(W29="","",_xlfn.RANK.EQ(W29,W$4:W$39,1)+COUNTIF(W29:W$39,W29)-1)</f>
        <v/>
      </c>
      <c r="AK29" s="109">
        <f>IF(X29="","",_xlfn.RANK.EQ(X29,X$4:X$41,1)+COUNTIF(X29:X$41,X29)-1)</f>
        <v>10</v>
      </c>
      <c r="AL29" s="109">
        <f>IF(Y29="","",_xlfn.RANK.EQ(Y29,Y$4:Y$41,1)+COUNTIF(Y29:Y$41,Y29)-1)</f>
        <v>8</v>
      </c>
      <c r="AM29" s="109">
        <f>IF(Z29="","",_xlfn.RANK.EQ(Z29,Z$4:Z$41,1)+COUNTIF(Z29:Z$41,Z29)-1)</f>
        <v>9</v>
      </c>
      <c r="AN29" s="109">
        <f>IF(AA29="","",_xlfn.RANK.EQ(AA29,AA$4:AA$41,1)+COUNTIF(AA29:AA$41,AA29)-1)</f>
        <v>8</v>
      </c>
      <c r="AO29" s="109">
        <f>IF(AB29="","",_xlfn.RANK.EQ(AB29,AB$4:AB$41,1)+COUNTIF(AB29:AB$41,AB29)-1)</f>
        <v>10</v>
      </c>
    </row>
    <row r="30" spans="1:41" ht="12.75" customHeight="1">
      <c r="A30" s="73"/>
      <c r="B30" s="36" t="s">
        <v>27</v>
      </c>
      <c r="C30" s="37">
        <v>1</v>
      </c>
      <c r="D30" s="37" t="s">
        <v>3</v>
      </c>
      <c r="E30" s="37">
        <v>20</v>
      </c>
      <c r="F30" s="37">
        <v>20</v>
      </c>
      <c r="G30" s="162" t="s">
        <v>66</v>
      </c>
      <c r="H30" s="37" t="s">
        <v>44</v>
      </c>
      <c r="I30" s="37" t="s">
        <v>63</v>
      </c>
      <c r="J30" s="37" t="s">
        <v>65</v>
      </c>
      <c r="K30" s="37" t="s">
        <v>65</v>
      </c>
      <c r="L30" s="37" t="s">
        <v>65</v>
      </c>
      <c r="M30" s="37" t="s">
        <v>65</v>
      </c>
      <c r="N30" s="37" t="s">
        <v>65</v>
      </c>
      <c r="O30" s="38"/>
      <c r="P30" s="109" t="str">
        <f t="shared" si="24"/>
        <v/>
      </c>
      <c r="Q30" s="109" t="str">
        <f t="shared" si="24"/>
        <v/>
      </c>
      <c r="R30" s="109" t="str">
        <f t="shared" si="1"/>
        <v/>
      </c>
      <c r="S30" s="109">
        <f t="shared" si="23"/>
        <v>0.2</v>
      </c>
      <c r="T30" s="109">
        <f t="shared" si="26"/>
        <v>0.2</v>
      </c>
      <c r="U30" s="109">
        <f t="shared" si="27"/>
        <v>0.2</v>
      </c>
      <c r="V30" s="109">
        <f t="shared" si="28"/>
        <v>0.2</v>
      </c>
      <c r="W30" s="109">
        <f t="shared" si="29"/>
        <v>0.2</v>
      </c>
      <c r="X30" s="109" t="str">
        <f t="shared" si="13"/>
        <v/>
      </c>
      <c r="Y30" s="109" t="str">
        <f t="shared" si="14"/>
        <v/>
      </c>
      <c r="Z30" s="109" t="str">
        <f t="shared" si="15"/>
        <v/>
      </c>
      <c r="AA30" s="109" t="str">
        <f t="shared" si="16"/>
        <v/>
      </c>
      <c r="AB30" s="109" t="str">
        <f t="shared" si="17"/>
        <v/>
      </c>
      <c r="AC30" s="109" t="str">
        <f>IF(P30="","",_xlfn.RANK.EQ(P30,P$4:P$41,1)+COUNTIF(P30:P$41,P30)-1)</f>
        <v/>
      </c>
      <c r="AD30" s="109" t="str">
        <f>IF(Q30="","",_xlfn.RANK.EQ(Q30,Q$4:Q$41,1)+COUNTIF(Q30:Q$41,Q30)-1)</f>
        <v/>
      </c>
      <c r="AE30" s="109" t="str">
        <f>IF(R30="","",_xlfn.RANK.EQ(R30,R$4:R$41,1)+COUNTIF(R30:R$41,R30)-1)</f>
        <v/>
      </c>
      <c r="AF30" s="109">
        <f>IF(S30="","",_xlfn.RANK.EQ(S30,S$4:S$39,1)+COUNTIF(S30:S$39,S30)-1)</f>
        <v>10</v>
      </c>
      <c r="AG30" s="109">
        <f>IF(T30="","",_xlfn.RANK.EQ(T30,T$4:T$39,1)+COUNTIF(T30:T$39,T30)-1)</f>
        <v>10</v>
      </c>
      <c r="AH30" s="109">
        <f>IF(U30="","",_xlfn.RANK.EQ(U30,U$4:U$39,1)+COUNTIF(U30:U$39,U30)-1)</f>
        <v>10</v>
      </c>
      <c r="AI30" s="109">
        <f>IF(V30="","",_xlfn.RANK.EQ(V30,V$4:V$39,1)+COUNTIF(V30:V$39,V30)-1)</f>
        <v>10</v>
      </c>
      <c r="AJ30" s="109">
        <f>IF(W30="","",_xlfn.RANK.EQ(W30,W$4:W$39,1)+COUNTIF(W30:W$39,W30)-1)</f>
        <v>9</v>
      </c>
      <c r="AK30" s="109" t="str">
        <f>IF(X30="","",_xlfn.RANK.EQ(X30,X$4:X$41,1)+COUNTIF(X30:X$41,X30)-1)</f>
        <v/>
      </c>
      <c r="AL30" s="109" t="str">
        <f>IF(Y30="","",_xlfn.RANK.EQ(Y30,Y$4:Y$41,1)+COUNTIF(Y30:Y$41,Y30)-1)</f>
        <v/>
      </c>
      <c r="AM30" s="109" t="str">
        <f>IF(Z30="","",_xlfn.RANK.EQ(Z30,Z$4:Z$41,1)+COUNTIF(Z30:Z$41,Z30)-1)</f>
        <v/>
      </c>
      <c r="AN30" s="109" t="str">
        <f>IF(AA30="","",_xlfn.RANK.EQ(AA30,AA$4:AA$41,1)+COUNTIF(AA30:AA$41,AA30)-1)</f>
        <v/>
      </c>
      <c r="AO30" s="109" t="str">
        <f>IF(AB30="","",_xlfn.RANK.EQ(AB30,AB$4:AB$41,1)+COUNTIF(AB30:AB$41,AB30)-1)</f>
        <v/>
      </c>
    </row>
    <row r="31" spans="1:41" ht="12.75" customHeight="1">
      <c r="A31" s="73"/>
      <c r="B31" s="37" t="s">
        <v>54</v>
      </c>
      <c r="C31" s="37">
        <v>5</v>
      </c>
      <c r="D31" s="37" t="s">
        <v>3</v>
      </c>
      <c r="E31" s="37">
        <v>15</v>
      </c>
      <c r="F31" s="37">
        <v>15</v>
      </c>
      <c r="G31" s="38" t="s">
        <v>162</v>
      </c>
      <c r="H31" s="37" t="s">
        <v>67</v>
      </c>
      <c r="I31" s="37" t="s">
        <v>63</v>
      </c>
      <c r="J31" s="37" t="s">
        <v>65</v>
      </c>
      <c r="K31" s="37" t="s">
        <v>65</v>
      </c>
      <c r="L31" s="37" t="s">
        <v>65</v>
      </c>
      <c r="M31" s="37" t="s">
        <v>65</v>
      </c>
      <c r="N31" s="37" t="s">
        <v>65</v>
      </c>
      <c r="O31" s="38"/>
      <c r="P31" s="109" t="str">
        <f t="shared" si="24"/>
        <v/>
      </c>
      <c r="Q31" s="109" t="str">
        <f t="shared" si="24"/>
        <v/>
      </c>
      <c r="R31" s="109" t="str">
        <f t="shared" si="1"/>
        <v/>
      </c>
      <c r="S31" s="109">
        <f t="shared" si="23"/>
        <v>0.15</v>
      </c>
      <c r="T31" s="109">
        <f t="shared" si="26"/>
        <v>0.15</v>
      </c>
      <c r="U31" s="109">
        <f t="shared" si="27"/>
        <v>0.15</v>
      </c>
      <c r="V31" s="109">
        <f t="shared" si="28"/>
        <v>0.15</v>
      </c>
      <c r="W31" s="109">
        <f t="shared" si="29"/>
        <v>0.15</v>
      </c>
      <c r="X31" s="109" t="str">
        <f t="shared" si="13"/>
        <v/>
      </c>
      <c r="Y31" s="109" t="str">
        <f t="shared" si="14"/>
        <v/>
      </c>
      <c r="Z31" s="109" t="str">
        <f t="shared" si="15"/>
        <v/>
      </c>
      <c r="AA31" s="109" t="str">
        <f t="shared" si="16"/>
        <v/>
      </c>
      <c r="AB31" s="109" t="str">
        <f t="shared" si="17"/>
        <v/>
      </c>
      <c r="AC31" s="109" t="str">
        <f>IF(P31="","",_xlfn.RANK.EQ(P31,P$4:P$41,1)+COUNTIF(P31:P$41,P31)-1)</f>
        <v/>
      </c>
      <c r="AD31" s="109" t="str">
        <f>IF(Q31="","",_xlfn.RANK.EQ(Q31,Q$4:Q$41,1)+COUNTIF(Q31:Q$41,Q31)-1)</f>
        <v/>
      </c>
      <c r="AE31" s="109" t="str">
        <f>IF(R31="","",_xlfn.RANK.EQ(R31,R$4:R$41,1)+COUNTIF(R31:R$41,R31)-1)</f>
        <v/>
      </c>
      <c r="AF31" s="109">
        <f>IF(S31="","",_xlfn.RANK.EQ(S31,S$4:S$39,1)+COUNTIF(S31:S$39,S31)-1)</f>
        <v>1</v>
      </c>
      <c r="AG31" s="109">
        <f>IF(T31="","",_xlfn.RANK.EQ(T31,T$4:T$39,1)+COUNTIF(T31:T$39,T31)-1)</f>
        <v>1</v>
      </c>
      <c r="AH31" s="109">
        <f>IF(U31="","",_xlfn.RANK.EQ(U31,U$4:U$39,1)+COUNTIF(U31:U$39,U31)-1)</f>
        <v>1</v>
      </c>
      <c r="AI31" s="109">
        <f>IF(V31="","",_xlfn.RANK.EQ(V31,V$4:V$39,1)+COUNTIF(V31:V$39,V31)-1)</f>
        <v>1</v>
      </c>
      <c r="AJ31" s="109">
        <f>IF(W31="","",_xlfn.RANK.EQ(W31,W$4:W$39,1)+COUNTIF(W31:W$39,W31)-1)</f>
        <v>1</v>
      </c>
      <c r="AK31" s="109" t="str">
        <f>IF(X31="","",_xlfn.RANK.EQ(X31,X$4:X$41,1)+COUNTIF(X31:X$41,X31)-1)</f>
        <v/>
      </c>
      <c r="AL31" s="109" t="str">
        <f>IF(Y31="","",_xlfn.RANK.EQ(Y31,Y$4:Y$41,1)+COUNTIF(Y31:Y$41,Y31)-1)</f>
        <v/>
      </c>
      <c r="AM31" s="109" t="str">
        <f>IF(Z31="","",_xlfn.RANK.EQ(Z31,Z$4:Z$41,1)+COUNTIF(Z31:Z$41,Z31)-1)</f>
        <v/>
      </c>
      <c r="AN31" s="109" t="str">
        <f>IF(AA31="","",_xlfn.RANK.EQ(AA31,AA$4:AA$41,1)+COUNTIF(AA31:AA$41,AA31)-1)</f>
        <v/>
      </c>
      <c r="AO31" s="109" t="str">
        <f>IF(AB31="","",_xlfn.RANK.EQ(AB31,AB$4:AB$41,1)+COUNTIF(AB31:AB$41,AB31)-1)</f>
        <v/>
      </c>
    </row>
    <row r="32" spans="1:41" ht="12.75" customHeight="1">
      <c r="A32" s="73"/>
      <c r="B32" s="37" t="s">
        <v>54</v>
      </c>
      <c r="C32" s="37">
        <v>5</v>
      </c>
      <c r="D32" s="37" t="s">
        <v>3</v>
      </c>
      <c r="E32" s="37">
        <v>15</v>
      </c>
      <c r="F32" s="37">
        <v>15</v>
      </c>
      <c r="G32" s="38" t="s">
        <v>162</v>
      </c>
      <c r="H32" s="37" t="s">
        <v>67</v>
      </c>
      <c r="I32" s="37" t="s">
        <v>63</v>
      </c>
      <c r="J32" s="37" t="s">
        <v>8</v>
      </c>
      <c r="K32" s="37" t="s">
        <v>8</v>
      </c>
      <c r="L32" s="37" t="s">
        <v>8</v>
      </c>
      <c r="M32" s="37" t="s">
        <v>8</v>
      </c>
      <c r="N32" s="37" t="s">
        <v>8</v>
      </c>
      <c r="O32" s="38"/>
      <c r="P32" s="109" t="str">
        <f t="shared" si="24"/>
        <v/>
      </c>
      <c r="Q32" s="109" t="str">
        <f t="shared" si="24"/>
        <v/>
      </c>
      <c r="R32" s="109" t="str">
        <f t="shared" si="1"/>
        <v/>
      </c>
      <c r="S32" s="109" t="str">
        <f t="shared" si="23"/>
        <v/>
      </c>
      <c r="T32" s="109" t="str">
        <f t="shared" si="26"/>
        <v/>
      </c>
      <c r="U32" s="109" t="str">
        <f t="shared" si="27"/>
        <v/>
      </c>
      <c r="V32" s="109" t="str">
        <f t="shared" si="28"/>
        <v/>
      </c>
      <c r="W32" s="109" t="str">
        <f t="shared" si="29"/>
        <v/>
      </c>
      <c r="X32" s="109">
        <f t="shared" si="13"/>
        <v>0.15</v>
      </c>
      <c r="Y32" s="109">
        <f t="shared" si="14"/>
        <v>0.15</v>
      </c>
      <c r="Z32" s="109">
        <f t="shared" si="15"/>
        <v>0.15</v>
      </c>
      <c r="AA32" s="109">
        <f t="shared" si="16"/>
        <v>0.15</v>
      </c>
      <c r="AB32" s="109">
        <f t="shared" si="17"/>
        <v>0.15</v>
      </c>
      <c r="AC32" s="109" t="str">
        <f>IF(P32="","",_xlfn.RANK.EQ(P32,P$4:P$41,1)+COUNTIF(P32:P$41,P32)-1)</f>
        <v/>
      </c>
      <c r="AD32" s="109" t="str">
        <f>IF(Q32="","",_xlfn.RANK.EQ(Q32,Q$4:Q$41,1)+COUNTIF(Q32:Q$41,Q32)-1)</f>
        <v/>
      </c>
      <c r="AE32" s="109" t="str">
        <f>IF(R32="","",_xlfn.RANK.EQ(R32,R$4:R$41,1)+COUNTIF(R32:R$41,R32)-1)</f>
        <v/>
      </c>
      <c r="AF32" s="109" t="str">
        <f>IF(S32="","",_xlfn.RANK.EQ(S32,S$4:S$39,1)+COUNTIF(S32:S$39,S32)-1)</f>
        <v/>
      </c>
      <c r="AG32" s="109" t="str">
        <f>IF(T32="","",_xlfn.RANK.EQ(T32,T$4:T$39,1)+COUNTIF(T32:T$39,T32)-1)</f>
        <v/>
      </c>
      <c r="AH32" s="109" t="str">
        <f>IF(U32="","",_xlfn.RANK.EQ(U32,U$4:U$39,1)+COUNTIF(U32:U$39,U32)-1)</f>
        <v/>
      </c>
      <c r="AI32" s="109" t="str">
        <f>IF(V32="","",_xlfn.RANK.EQ(V32,V$4:V$39,1)+COUNTIF(V32:V$39,V32)-1)</f>
        <v/>
      </c>
      <c r="AJ32" s="109" t="str">
        <f>IF(W32="","",_xlfn.RANK.EQ(W32,W$4:W$39,1)+COUNTIF(W32:W$39,W32)-1)</f>
        <v/>
      </c>
      <c r="AK32" s="109">
        <f>IF(X32="","",_xlfn.RANK.EQ(X32,X$4:X$41,1)+COUNTIF(X32:X$41,X32)-1)</f>
        <v>1</v>
      </c>
      <c r="AL32" s="109">
        <f>IF(Y32="","",_xlfn.RANK.EQ(Y32,Y$4:Y$41,1)+COUNTIF(Y32:Y$41,Y32)-1)</f>
        <v>1</v>
      </c>
      <c r="AM32" s="109">
        <f>IF(Z32="","",_xlfn.RANK.EQ(Z32,Z$4:Z$41,1)+COUNTIF(Z32:Z$41,Z32)-1)</f>
        <v>1</v>
      </c>
      <c r="AN32" s="109">
        <f>IF(AA32="","",_xlfn.RANK.EQ(AA32,AA$4:AA$41,1)+COUNTIF(AA32:AA$41,AA32)-1)</f>
        <v>1</v>
      </c>
      <c r="AO32" s="109">
        <f>IF(AB32="","",_xlfn.RANK.EQ(AB32,AB$4:AB$41,1)+COUNTIF(AB32:AB$41,AB32)-1)</f>
        <v>1</v>
      </c>
    </row>
    <row r="33" spans="1:41" ht="12.75" customHeight="1">
      <c r="A33" s="73"/>
      <c r="B33" s="37" t="s">
        <v>54</v>
      </c>
      <c r="C33" s="37">
        <v>8</v>
      </c>
      <c r="D33" s="37" t="s">
        <v>53</v>
      </c>
      <c r="E33" s="37">
        <v>22</v>
      </c>
      <c r="F33" s="44">
        <v>22</v>
      </c>
      <c r="G33" s="161" t="s">
        <v>136</v>
      </c>
      <c r="H33" s="44" t="s">
        <v>52</v>
      </c>
      <c r="I33" s="37" t="s">
        <v>63</v>
      </c>
      <c r="J33" s="37" t="s">
        <v>65</v>
      </c>
      <c r="K33" s="37" t="s">
        <v>65</v>
      </c>
      <c r="L33" s="37" t="s">
        <v>65</v>
      </c>
      <c r="M33" s="37" t="s">
        <v>65</v>
      </c>
      <c r="N33" s="37" t="s">
        <v>65</v>
      </c>
      <c r="O33" s="38"/>
      <c r="P33" s="109" t="str">
        <f t="shared" si="24"/>
        <v/>
      </c>
      <c r="Q33" s="109" t="str">
        <f t="shared" si="24"/>
        <v/>
      </c>
      <c r="R33" s="109" t="str">
        <f t="shared" si="1"/>
        <v/>
      </c>
      <c r="S33" s="109">
        <f>IF(J33="AM",IF($F33&gt;14,$F33/100,$F33),"")</f>
        <v>0.22</v>
      </c>
      <c r="T33" s="109">
        <f t="shared" si="26"/>
        <v>0.22</v>
      </c>
      <c r="U33" s="109">
        <f t="shared" si="27"/>
        <v>0.22</v>
      </c>
      <c r="V33" s="109">
        <f t="shared" si="28"/>
        <v>0.22</v>
      </c>
      <c r="W33" s="109">
        <f t="shared" si="29"/>
        <v>0.22</v>
      </c>
      <c r="X33" s="109" t="str">
        <f t="shared" si="13"/>
        <v/>
      </c>
      <c r="Y33" s="109" t="str">
        <f t="shared" si="14"/>
        <v/>
      </c>
      <c r="Z33" s="109" t="str">
        <f t="shared" si="15"/>
        <v/>
      </c>
      <c r="AA33" s="109" t="str">
        <f t="shared" si="16"/>
        <v/>
      </c>
      <c r="AB33" s="109" t="str">
        <f t="shared" si="17"/>
        <v/>
      </c>
      <c r="AC33" s="109" t="str">
        <f>IF(P33="","",_xlfn.RANK.EQ(P33,P$4:P$41,1)+COUNTIF(P33:P$41,P33)-1)</f>
        <v/>
      </c>
      <c r="AD33" s="109" t="str">
        <f>IF(Q33="","",_xlfn.RANK.EQ(Q33,Q$4:Q$41,1)+COUNTIF(Q33:Q$41,Q33)-1)</f>
        <v/>
      </c>
      <c r="AE33" s="109" t="str">
        <f>IF(R33="","",_xlfn.RANK.EQ(R33,R$4:R$41,1)+COUNTIF(R33:R$41,R33)-1)</f>
        <v/>
      </c>
      <c r="AF33" s="109">
        <f>IF(S33="","",_xlfn.RANK.EQ(S33,S$4:S$39,1)+COUNTIF(S33:S$39,S33)-1)</f>
        <v>12</v>
      </c>
      <c r="AG33" s="109">
        <f>IF(T33="","",_xlfn.RANK.EQ(T33,T$4:T$39,1)+COUNTIF(T33:T$39,T33)-1)</f>
        <v>12</v>
      </c>
      <c r="AH33" s="109">
        <f>IF(U33="","",_xlfn.RANK.EQ(U33,U$4:U$39,1)+COUNTIF(U33:U$39,U33)-1)</f>
        <v>12</v>
      </c>
      <c r="AI33" s="109">
        <f>IF(V33="","",_xlfn.RANK.EQ(V33,V$4:V$39,1)+COUNTIF(V33:V$39,V33)-1)</f>
        <v>12</v>
      </c>
      <c r="AJ33" s="109">
        <f>IF(W33="","",_xlfn.RANK.EQ(W33,W$4:W$39,1)+COUNTIF(W33:W$39,W33)-1)</f>
        <v>11</v>
      </c>
      <c r="AK33" s="109" t="str">
        <f>IF(X33="","",_xlfn.RANK.EQ(X33,X$4:X$41,1)+COUNTIF(X33:X$41,X33)-1)</f>
        <v/>
      </c>
      <c r="AL33" s="109" t="str">
        <f>IF(Y33="","",_xlfn.RANK.EQ(Y33,Y$4:Y$41,1)+COUNTIF(Y33:Y$41,Y33)-1)</f>
        <v/>
      </c>
      <c r="AM33" s="109" t="str">
        <f>IF(Z33="","",_xlfn.RANK.EQ(Z33,Z$4:Z$41,1)+COUNTIF(Z33:Z$41,Z33)-1)</f>
        <v/>
      </c>
      <c r="AN33" s="109" t="str">
        <f>IF(AA33="","",_xlfn.RANK.EQ(AA33,AA$4:AA$41,1)+COUNTIF(AA33:AA$41,AA33)-1)</f>
        <v/>
      </c>
      <c r="AO33" s="109" t="str">
        <f>IF(AB33="","",_xlfn.RANK.EQ(AB33,AB$4:AB$41,1)+COUNTIF(AB33:AB$41,AB33)-1)</f>
        <v/>
      </c>
    </row>
    <row r="34" spans="1:41" ht="12.75" customHeight="1">
      <c r="A34" s="73"/>
      <c r="B34" s="37" t="s">
        <v>54</v>
      </c>
      <c r="C34" s="37">
        <v>8</v>
      </c>
      <c r="D34" s="37" t="s">
        <v>53</v>
      </c>
      <c r="E34" s="37">
        <v>22</v>
      </c>
      <c r="F34" s="44">
        <v>22</v>
      </c>
      <c r="G34" s="38" t="s">
        <v>126</v>
      </c>
      <c r="H34" s="37" t="s">
        <v>52</v>
      </c>
      <c r="I34" s="37" t="s">
        <v>21</v>
      </c>
      <c r="J34" s="37"/>
      <c r="K34" s="37" t="s">
        <v>8</v>
      </c>
      <c r="L34" s="37"/>
      <c r="M34" s="37" t="s">
        <v>8</v>
      </c>
      <c r="N34" s="37"/>
      <c r="O34" s="38"/>
      <c r="P34" s="109" t="str">
        <f t="shared" si="24"/>
        <v/>
      </c>
      <c r="Q34" s="109" t="str">
        <f t="shared" si="24"/>
        <v/>
      </c>
      <c r="R34" s="109" t="str">
        <f t="shared" si="1"/>
        <v/>
      </c>
      <c r="S34" s="109" t="str">
        <f t="shared" ref="S34:S39" si="30">IF(J34="AM",IF($F34&gt;14,$F34/100,$F34),"")</f>
        <v/>
      </c>
      <c r="T34" s="109" t="str">
        <f t="shared" si="26"/>
        <v/>
      </c>
      <c r="U34" s="109" t="str">
        <f t="shared" si="27"/>
        <v/>
      </c>
      <c r="V34" s="109" t="str">
        <f t="shared" si="28"/>
        <v/>
      </c>
      <c r="W34" s="109" t="str">
        <f t="shared" si="29"/>
        <v/>
      </c>
      <c r="X34" s="109" t="str">
        <f t="shared" si="13"/>
        <v/>
      </c>
      <c r="Y34" s="109">
        <f t="shared" si="14"/>
        <v>0.22</v>
      </c>
      <c r="Z34" s="109" t="str">
        <f t="shared" si="15"/>
        <v/>
      </c>
      <c r="AA34" s="109">
        <f t="shared" si="16"/>
        <v>0.22</v>
      </c>
      <c r="AB34" s="109" t="str">
        <f t="shared" si="17"/>
        <v/>
      </c>
      <c r="AC34" s="109" t="str">
        <f>IF(P34="","",_xlfn.RANK.EQ(P34,P$4:P$41,1)+COUNTIF(P34:P$41,P34)-1)</f>
        <v/>
      </c>
      <c r="AD34" s="109" t="str">
        <f>IF(Q34="","",_xlfn.RANK.EQ(Q34,Q$4:Q$41,1)+COUNTIF(Q34:Q$41,Q34)-1)</f>
        <v/>
      </c>
      <c r="AE34" s="109" t="str">
        <f>IF(R34="","",_xlfn.RANK.EQ(R34,R$4:R$41,1)+COUNTIF(R34:R$41,R34)-1)</f>
        <v/>
      </c>
      <c r="AF34" s="109" t="str">
        <f>IF(S34="","",_xlfn.RANK.EQ(S34,S$4:S$39,1)+COUNTIF(S34:S$39,S34)-1)</f>
        <v/>
      </c>
      <c r="AG34" s="109" t="str">
        <f>IF(T34="","",_xlfn.RANK.EQ(T34,T$4:T$39,1)+COUNTIF(T34:T$39,T34)-1)</f>
        <v/>
      </c>
      <c r="AH34" s="109" t="str">
        <f>IF(U34="","",_xlfn.RANK.EQ(U34,U$4:U$39,1)+COUNTIF(U34:U$39,U34)-1)</f>
        <v/>
      </c>
      <c r="AI34" s="109" t="str">
        <f>IF(V34="","",_xlfn.RANK.EQ(V34,V$4:V$39,1)+COUNTIF(V34:V$39,V34)-1)</f>
        <v/>
      </c>
      <c r="AJ34" s="109" t="str">
        <f>IF(W34="","",_xlfn.RANK.EQ(W34,W$4:W$39,1)+COUNTIF(W34:W$39,W34)-1)</f>
        <v/>
      </c>
      <c r="AK34" s="109" t="str">
        <f>IF(X34="","",_xlfn.RANK.EQ(X34,X$4:X$41,1)+COUNTIF(X34:X$41,X34)-1)</f>
        <v/>
      </c>
      <c r="AL34" s="109">
        <f>IF(Y34="","",_xlfn.RANK.EQ(Y34,Y$4:Y$41,1)+COUNTIF(Y34:Y$41,Y34)-1)</f>
        <v>13</v>
      </c>
      <c r="AM34" s="109" t="str">
        <f>IF(Z34="","",_xlfn.RANK.EQ(Z34,Z$4:Z$41,1)+COUNTIF(Z34:Z$41,Z34)-1)</f>
        <v/>
      </c>
      <c r="AN34" s="109">
        <f>IF(AA34="","",_xlfn.RANK.EQ(AA34,AA$4:AA$41,1)+COUNTIF(AA34:AA$41,AA34)-1)</f>
        <v>13</v>
      </c>
      <c r="AO34" s="109" t="str">
        <f>IF(AB34="","",_xlfn.RANK.EQ(AB34,AB$4:AB$41,1)+COUNTIF(AB34:AB$41,AB34)-1)</f>
        <v/>
      </c>
    </row>
    <row r="35" spans="1:41" ht="12.75" customHeight="1">
      <c r="A35" s="73"/>
      <c r="B35" s="37" t="s">
        <v>54</v>
      </c>
      <c r="C35" s="37">
        <v>9</v>
      </c>
      <c r="D35" s="37" t="s">
        <v>53</v>
      </c>
      <c r="E35" s="37">
        <v>17</v>
      </c>
      <c r="F35" s="44">
        <v>17</v>
      </c>
      <c r="G35" s="162" t="s">
        <v>146</v>
      </c>
      <c r="H35" s="37" t="s">
        <v>52</v>
      </c>
      <c r="I35" s="37" t="s">
        <v>63</v>
      </c>
      <c r="J35" s="37" t="s">
        <v>65</v>
      </c>
      <c r="K35" s="37" t="s">
        <v>65</v>
      </c>
      <c r="L35" s="37" t="s">
        <v>65</v>
      </c>
      <c r="M35" s="37" t="s">
        <v>65</v>
      </c>
      <c r="N35" s="37" t="s">
        <v>65</v>
      </c>
      <c r="O35" s="38"/>
      <c r="P35" s="109" t="str">
        <f t="shared" si="24"/>
        <v/>
      </c>
      <c r="Q35" s="109" t="str">
        <f t="shared" si="24"/>
        <v/>
      </c>
      <c r="R35" s="109" t="str">
        <f t="shared" si="1"/>
        <v/>
      </c>
      <c r="S35" s="109">
        <f t="shared" si="30"/>
        <v>0.17</v>
      </c>
      <c r="T35" s="109">
        <f t="shared" si="26"/>
        <v>0.17</v>
      </c>
      <c r="U35" s="109">
        <f t="shared" si="27"/>
        <v>0.17</v>
      </c>
      <c r="V35" s="109">
        <f t="shared" si="28"/>
        <v>0.17</v>
      </c>
      <c r="W35" s="109">
        <f t="shared" si="29"/>
        <v>0.17</v>
      </c>
      <c r="X35" s="109" t="str">
        <f t="shared" si="13"/>
        <v/>
      </c>
      <c r="Y35" s="109" t="str">
        <f t="shared" si="14"/>
        <v/>
      </c>
      <c r="Z35" s="109" t="str">
        <f t="shared" si="15"/>
        <v/>
      </c>
      <c r="AA35" s="109" t="str">
        <f t="shared" si="16"/>
        <v/>
      </c>
      <c r="AB35" s="109" t="str">
        <f t="shared" si="17"/>
        <v/>
      </c>
      <c r="AC35" s="109" t="str">
        <f>IF(P35="","",_xlfn.RANK.EQ(P35,P$4:P$41,1)+COUNTIF(P35:P$41,P35)-1)</f>
        <v/>
      </c>
      <c r="AD35" s="109" t="str">
        <f>IF(Q35="","",_xlfn.RANK.EQ(Q35,Q$4:Q$41,1)+COUNTIF(Q35:Q$41,Q35)-1)</f>
        <v/>
      </c>
      <c r="AE35" s="109" t="str">
        <f>IF(R35="","",_xlfn.RANK.EQ(R35,R$4:R$41,1)+COUNTIF(R35:R$41,R35)-1)</f>
        <v/>
      </c>
      <c r="AF35" s="109">
        <f>IF(S35="","",_xlfn.RANK.EQ(S35,S$4:S$39,1)+COUNTIF(S35:S$39,S35)-1)</f>
        <v>5</v>
      </c>
      <c r="AG35" s="109">
        <f>IF(T35="","",_xlfn.RANK.EQ(T35,T$4:T$39,1)+COUNTIF(T35:T$39,T35)-1)</f>
        <v>5</v>
      </c>
      <c r="AH35" s="109">
        <f>IF(U35="","",_xlfn.RANK.EQ(U35,U$4:U$39,1)+COUNTIF(U35:U$39,U35)-1)</f>
        <v>5</v>
      </c>
      <c r="AI35" s="109">
        <f>IF(V35="","",_xlfn.RANK.EQ(V35,V$4:V$39,1)+COUNTIF(V35:V$39,V35)-1)</f>
        <v>5</v>
      </c>
      <c r="AJ35" s="109">
        <f>IF(W35="","",_xlfn.RANK.EQ(W35,W$4:W$39,1)+COUNTIF(W35:W$39,W35)-1)</f>
        <v>4</v>
      </c>
      <c r="AK35" s="109" t="str">
        <f>IF(X35="","",_xlfn.RANK.EQ(X35,X$4:X$41,1)+COUNTIF(X35:X$41,X35)-1)</f>
        <v/>
      </c>
      <c r="AL35" s="109" t="str">
        <f>IF(Y35="","",_xlfn.RANK.EQ(Y35,Y$4:Y$41,1)+COUNTIF(Y35:Y$41,Y35)-1)</f>
        <v/>
      </c>
      <c r="AM35" s="109" t="str">
        <f>IF(Z35="","",_xlfn.RANK.EQ(Z35,Z$4:Z$41,1)+COUNTIF(Z35:Z$41,Z35)-1)</f>
        <v/>
      </c>
      <c r="AN35" s="109" t="str">
        <f>IF(AA35="","",_xlfn.RANK.EQ(AA35,AA$4:AA$41,1)+COUNTIF(AA35:AA$41,AA35)-1)</f>
        <v/>
      </c>
      <c r="AO35" s="109" t="str">
        <f>IF(AB35="","",_xlfn.RANK.EQ(AB35,AB$4:AB$41,1)+COUNTIF(AB35:AB$41,AB35)-1)</f>
        <v/>
      </c>
    </row>
    <row r="36" spans="1:41" ht="12.75" customHeight="1">
      <c r="A36" s="73"/>
      <c r="B36" s="36" t="s">
        <v>54</v>
      </c>
      <c r="C36" s="37">
        <v>9</v>
      </c>
      <c r="D36" s="37" t="s">
        <v>53</v>
      </c>
      <c r="E36" s="37">
        <v>17</v>
      </c>
      <c r="F36" s="44">
        <v>18</v>
      </c>
      <c r="G36" s="43" t="s">
        <v>132</v>
      </c>
      <c r="H36" s="44" t="s">
        <v>52</v>
      </c>
      <c r="I36" s="37" t="s">
        <v>63</v>
      </c>
      <c r="J36" s="37" t="s">
        <v>8</v>
      </c>
      <c r="K36" s="37" t="s">
        <v>8</v>
      </c>
      <c r="L36" s="37" t="s">
        <v>8</v>
      </c>
      <c r="M36" s="37" t="s">
        <v>8</v>
      </c>
      <c r="N36" s="37" t="s">
        <v>8</v>
      </c>
      <c r="O36" s="160"/>
      <c r="P36" s="109" t="str">
        <f t="shared" si="24"/>
        <v/>
      </c>
      <c r="Q36" s="109" t="str">
        <f t="shared" si="24"/>
        <v/>
      </c>
      <c r="R36" s="109" t="str">
        <f t="shared" si="1"/>
        <v/>
      </c>
      <c r="S36" s="109" t="str">
        <f t="shared" si="30"/>
        <v/>
      </c>
      <c r="T36" s="109" t="str">
        <f t="shared" si="26"/>
        <v/>
      </c>
      <c r="U36" s="109" t="str">
        <f t="shared" si="27"/>
        <v/>
      </c>
      <c r="V36" s="109" t="str">
        <f t="shared" si="28"/>
        <v/>
      </c>
      <c r="W36" s="109" t="str">
        <f t="shared" si="29"/>
        <v/>
      </c>
      <c r="X36" s="109">
        <f t="shared" si="13"/>
        <v>0.18</v>
      </c>
      <c r="Y36" s="109">
        <f t="shared" si="14"/>
        <v>0.18</v>
      </c>
      <c r="Z36" s="109">
        <f t="shared" si="15"/>
        <v>0.18</v>
      </c>
      <c r="AA36" s="109">
        <f t="shared" si="16"/>
        <v>0.18</v>
      </c>
      <c r="AB36" s="109">
        <f t="shared" si="17"/>
        <v>0.18</v>
      </c>
      <c r="AC36" s="109" t="str">
        <f>IF(P36="","",_xlfn.RANK.EQ(P36,P$4:P$41,1)+COUNTIF(P36:P$41,P36)-1)</f>
        <v/>
      </c>
      <c r="AD36" s="109" t="str">
        <f>IF(Q36="","",_xlfn.RANK.EQ(Q36,Q$4:Q$41,1)+COUNTIF(Q36:Q$41,Q36)-1)</f>
        <v/>
      </c>
      <c r="AE36" s="109" t="str">
        <f>IF(R36="","",_xlfn.RANK.EQ(R36,R$4:R$41,1)+COUNTIF(R36:R$41,R36)-1)</f>
        <v/>
      </c>
      <c r="AF36" s="109" t="str">
        <f>IF(S36="","",_xlfn.RANK.EQ(S36,S$4:S$39,1)+COUNTIF(S36:S$39,S36)-1)</f>
        <v/>
      </c>
      <c r="AG36" s="109" t="str">
        <f>IF(T36="","",_xlfn.RANK.EQ(T36,T$4:T$39,1)+COUNTIF(T36:T$39,T36)-1)</f>
        <v/>
      </c>
      <c r="AH36" s="109" t="str">
        <f>IF(U36="","",_xlfn.RANK.EQ(U36,U$4:U$39,1)+COUNTIF(U36:U$39,U36)-1)</f>
        <v/>
      </c>
      <c r="AI36" s="109" t="str">
        <f>IF(V36="","",_xlfn.RANK.EQ(V36,V$4:V$39,1)+COUNTIF(V36:V$39,V36)-1)</f>
        <v/>
      </c>
      <c r="AJ36" s="109" t="str">
        <f>IF(W36="","",_xlfn.RANK.EQ(W36,W$4:W$39,1)+COUNTIF(W36:W$39,W36)-1)</f>
        <v/>
      </c>
      <c r="AK36" s="109">
        <f>IF(X36="","",_xlfn.RANK.EQ(X36,X$4:X$41,1)+COUNTIF(X36:X$41,X36)-1)</f>
        <v>7</v>
      </c>
      <c r="AL36" s="109">
        <f>IF(Y36="","",_xlfn.RANK.EQ(Y36,Y$4:Y$41,1)+COUNTIF(Y36:Y$41,Y36)-1)</f>
        <v>6</v>
      </c>
      <c r="AM36" s="109">
        <f>IF(Z36="","",_xlfn.RANK.EQ(Z36,Z$4:Z$41,1)+COUNTIF(Z36:Z$41,Z36)-1)</f>
        <v>7</v>
      </c>
      <c r="AN36" s="109">
        <f>IF(AA36="","",_xlfn.RANK.EQ(AA36,AA$4:AA$41,1)+COUNTIF(AA36:AA$41,AA36)-1)</f>
        <v>6</v>
      </c>
      <c r="AO36" s="109">
        <f>IF(AB36="","",_xlfn.RANK.EQ(AB36,AB$4:AB$41,1)+COUNTIF(AB36:AB$41,AB36)-1)</f>
        <v>7</v>
      </c>
    </row>
    <row r="37" spans="1:41" customFormat="1" ht="12.75" customHeight="1">
      <c r="B37" s="37" t="s">
        <v>27</v>
      </c>
      <c r="C37" s="37">
        <v>10</v>
      </c>
      <c r="D37" s="37" t="s">
        <v>53</v>
      </c>
      <c r="E37" s="37">
        <v>16</v>
      </c>
      <c r="F37" s="44">
        <v>16</v>
      </c>
      <c r="G37" s="72" t="s">
        <v>175</v>
      </c>
      <c r="H37" s="37" t="s">
        <v>52</v>
      </c>
      <c r="I37" s="37" t="s">
        <v>63</v>
      </c>
      <c r="J37" s="37" t="s">
        <v>65</v>
      </c>
      <c r="K37" s="37" t="s">
        <v>65</v>
      </c>
      <c r="L37" s="37" t="s">
        <v>65</v>
      </c>
      <c r="M37" s="37" t="s">
        <v>65</v>
      </c>
      <c r="N37" s="37" t="s">
        <v>65</v>
      </c>
      <c r="O37" s="38" t="s">
        <v>169</v>
      </c>
      <c r="P37" s="109" t="str">
        <f t="shared" si="24"/>
        <v/>
      </c>
      <c r="Q37" s="109" t="str">
        <f t="shared" si="24"/>
        <v/>
      </c>
      <c r="R37" s="109" t="str">
        <f t="shared" si="1"/>
        <v/>
      </c>
      <c r="S37" s="109">
        <f t="shared" si="30"/>
        <v>0.16</v>
      </c>
      <c r="T37" s="109">
        <f t="shared" si="26"/>
        <v>0.16</v>
      </c>
      <c r="U37" s="109">
        <f t="shared" si="27"/>
        <v>0.16</v>
      </c>
      <c r="V37" s="109">
        <f t="shared" si="28"/>
        <v>0.16</v>
      </c>
      <c r="W37" s="109">
        <f t="shared" si="29"/>
        <v>0.16</v>
      </c>
      <c r="X37" s="109" t="str">
        <f t="shared" si="13"/>
        <v/>
      </c>
      <c r="Y37" s="109" t="str">
        <f t="shared" si="14"/>
        <v/>
      </c>
      <c r="Z37" s="109" t="str">
        <f t="shared" si="15"/>
        <v/>
      </c>
      <c r="AA37" s="109" t="str">
        <f t="shared" si="16"/>
        <v/>
      </c>
      <c r="AB37" s="109" t="str">
        <f t="shared" si="17"/>
        <v/>
      </c>
      <c r="AC37" s="109" t="str">
        <f>IF(P37="","",_xlfn.RANK.EQ(P37,P$4:P$41,1)+COUNTIF(P37:P$41,P37)-1)</f>
        <v/>
      </c>
      <c r="AD37" s="109" t="str">
        <f>IF(Q37="","",_xlfn.RANK.EQ(Q37,Q$4:Q$41,1)+COUNTIF(Q37:Q$41,Q37)-1)</f>
        <v/>
      </c>
      <c r="AE37" s="109" t="str">
        <f>IF(R37="","",_xlfn.RANK.EQ(R37,R$4:R$41,1)+COUNTIF(R37:R$41,R37)-1)</f>
        <v/>
      </c>
      <c r="AF37" s="109">
        <f>IF(S37="","",_xlfn.RANK.EQ(S37,S$4:S$39,1)+COUNTIF(S37:S$39,S37)-1)</f>
        <v>3</v>
      </c>
      <c r="AG37" s="109">
        <f>IF(T37="","",_xlfn.RANK.EQ(T37,T$4:T$39,1)+COUNTIF(T37:T$39,T37)-1)</f>
        <v>3</v>
      </c>
      <c r="AH37" s="109">
        <f>IF(U37="","",_xlfn.RANK.EQ(U37,U$4:U$39,1)+COUNTIF(U37:U$39,U37)-1)</f>
        <v>3</v>
      </c>
      <c r="AI37" s="109">
        <f>IF(V37="","",_xlfn.RANK.EQ(V37,V$4:V$39,1)+COUNTIF(V37:V$39,V37)-1)</f>
        <v>3</v>
      </c>
      <c r="AJ37" s="109">
        <f>IF(W37="","",_xlfn.RANK.EQ(W37,W$4:W$39,1)+COUNTIF(W37:W$39,W37)-1)</f>
        <v>2</v>
      </c>
      <c r="AK37" s="109" t="str">
        <f>IF(X37="","",_xlfn.RANK.EQ(X37,X$4:X$41,1)+COUNTIF(X37:X$41,X37)-1)</f>
        <v/>
      </c>
      <c r="AL37" s="109" t="str">
        <f>IF(Y37="","",_xlfn.RANK.EQ(Y37,Y$4:Y$41,1)+COUNTIF(Y37:Y$41,Y37)-1)</f>
        <v/>
      </c>
      <c r="AM37" s="109" t="str">
        <f>IF(Z37="","",_xlfn.RANK.EQ(Z37,Z$4:Z$41,1)+COUNTIF(Z37:Z$41,Z37)-1)</f>
        <v/>
      </c>
      <c r="AN37" s="109" t="str">
        <f>IF(AA37="","",_xlfn.RANK.EQ(AA37,AA$4:AA$41,1)+COUNTIF(AA37:AA$41,AA37)-1)</f>
        <v/>
      </c>
      <c r="AO37" s="109" t="str">
        <f>IF(AB37="","",_xlfn.RANK.EQ(AB37,AB$4:AB$41,1)+COUNTIF(AB37:AB$41,AB37)-1)</f>
        <v/>
      </c>
    </row>
    <row r="38" spans="1:41" customFormat="1" ht="12.75" customHeight="1">
      <c r="B38" s="37" t="s">
        <v>27</v>
      </c>
      <c r="C38" s="37">
        <v>10</v>
      </c>
      <c r="D38" s="37" t="s">
        <v>53</v>
      </c>
      <c r="E38" s="37">
        <v>16</v>
      </c>
      <c r="F38" s="37">
        <v>16</v>
      </c>
      <c r="G38" s="162" t="s">
        <v>198</v>
      </c>
      <c r="H38" s="37" t="s">
        <v>52</v>
      </c>
      <c r="I38" s="37" t="s">
        <v>199</v>
      </c>
      <c r="J38" s="37" t="s">
        <v>8</v>
      </c>
      <c r="K38" s="37"/>
      <c r="L38" s="37" t="s">
        <v>8</v>
      </c>
      <c r="M38" s="37"/>
      <c r="N38" s="37" t="s">
        <v>8</v>
      </c>
      <c r="O38" s="38"/>
      <c r="P38" s="109" t="str">
        <f>IF($I38=P$3,IF($F38&gt;14,$F38/100,$F38),"")</f>
        <v/>
      </c>
      <c r="Q38" s="109" t="str">
        <f>IF($I38=Q$3,IF($F38&gt;14,$F38/100,$F38),"")</f>
        <v/>
      </c>
      <c r="R38" s="109" t="str">
        <f>IF($I38=R$3,$F38,"")</f>
        <v/>
      </c>
      <c r="S38" s="109" t="str">
        <f t="shared" si="30"/>
        <v/>
      </c>
      <c r="T38" s="109" t="str">
        <f t="shared" si="26"/>
        <v/>
      </c>
      <c r="U38" s="109" t="str">
        <f t="shared" si="27"/>
        <v/>
      </c>
      <c r="V38" s="109" t="str">
        <f t="shared" si="28"/>
        <v/>
      </c>
      <c r="W38" s="109" t="str">
        <f t="shared" si="29"/>
        <v/>
      </c>
      <c r="X38" s="109">
        <f t="shared" si="13"/>
        <v>0.16</v>
      </c>
      <c r="Y38" s="109" t="str">
        <f t="shared" si="14"/>
        <v/>
      </c>
      <c r="Z38" s="109">
        <f t="shared" si="15"/>
        <v>0.16</v>
      </c>
      <c r="AA38" s="109" t="str">
        <f t="shared" si="16"/>
        <v/>
      </c>
      <c r="AB38" s="109">
        <f t="shared" si="17"/>
        <v>0.16</v>
      </c>
      <c r="AC38" s="109" t="str">
        <f>IF(P38="","",_xlfn.RANK.EQ(P38,P$4:P$41,1)+COUNTIF(P38:P$41,P38)-1)</f>
        <v/>
      </c>
      <c r="AD38" s="109" t="str">
        <f>IF(Q38="","",_xlfn.RANK.EQ(Q38,Q$4:Q$41,1)+COUNTIF(Q38:Q$41,Q38)-1)</f>
        <v/>
      </c>
      <c r="AE38" s="109" t="str">
        <f>IF(R38="","",_xlfn.RANK.EQ(R38,R$4:R$41,1)+COUNTIF(R38:R$41,R38)-1)</f>
        <v/>
      </c>
      <c r="AF38" s="109" t="str">
        <f>IF(S38="","",_xlfn.RANK.EQ(S38,S$4:S$39,1)+COUNTIF(S38:S$39,S38)-1)</f>
        <v/>
      </c>
      <c r="AG38" s="109" t="str">
        <f>IF(T38="","",_xlfn.RANK.EQ(T38,T$4:T$39,1)+COUNTIF(T38:T$39,T38)-1)</f>
        <v/>
      </c>
      <c r="AH38" s="109" t="str">
        <f>IF(U38="","",_xlfn.RANK.EQ(U38,U$4:U$39,1)+COUNTIF(U38:U$39,U38)-1)</f>
        <v/>
      </c>
      <c r="AI38" s="109" t="str">
        <f>IF(V38="","",_xlfn.RANK.EQ(V38,V$4:V$39,1)+COUNTIF(V38:V$39,V38)-1)</f>
        <v/>
      </c>
      <c r="AJ38" s="109" t="str">
        <f>IF(W38="","",_xlfn.RANK.EQ(W38,W$4:W$39,1)+COUNTIF(W38:W$39,W38)-1)</f>
        <v/>
      </c>
      <c r="AK38" s="109">
        <f>IF(X38="","",_xlfn.RANK.EQ(X38,X$4:X$41,1)+COUNTIF(X38:X$41,X38)-1)</f>
        <v>3</v>
      </c>
      <c r="AL38" s="109" t="str">
        <f>IF(Y38="","",_xlfn.RANK.EQ(Y38,Y$4:Y$41,1)+COUNTIF(Y38:Y$41,Y38)-1)</f>
        <v/>
      </c>
      <c r="AM38" s="109">
        <f>IF(Z38="","",_xlfn.RANK.EQ(Z38,Z$4:Z$41,1)+COUNTIF(Z38:Z$41,Z38)-1)</f>
        <v>3</v>
      </c>
      <c r="AN38" s="109" t="str">
        <f>IF(AA38="","",_xlfn.RANK.EQ(AA38,AA$4:AA$41,1)+COUNTIF(AA38:AA$41,AA38)-1)</f>
        <v/>
      </c>
      <c r="AO38" s="109">
        <f>IF(AB38="","",_xlfn.RANK.EQ(AB38,AB$4:AB$41,1)+COUNTIF(AB38:AB$41,AB38)-1)</f>
        <v>3</v>
      </c>
    </row>
    <row r="39" spans="1:41" customFormat="1" ht="12.75" customHeight="1">
      <c r="B39" s="37" t="s">
        <v>27</v>
      </c>
      <c r="C39" s="37">
        <v>34</v>
      </c>
      <c r="D39" s="37" t="s">
        <v>53</v>
      </c>
      <c r="E39" s="37">
        <v>21</v>
      </c>
      <c r="F39" s="37">
        <v>21</v>
      </c>
      <c r="G39" s="162" t="s">
        <v>201</v>
      </c>
      <c r="H39" s="37" t="s">
        <v>67</v>
      </c>
      <c r="I39" s="37" t="s">
        <v>63</v>
      </c>
      <c r="J39" s="37" t="s">
        <v>65</v>
      </c>
      <c r="K39" s="37" t="s">
        <v>65</v>
      </c>
      <c r="L39" s="37" t="s">
        <v>65</v>
      </c>
      <c r="M39" s="37" t="s">
        <v>65</v>
      </c>
      <c r="N39" s="37" t="s">
        <v>65</v>
      </c>
      <c r="O39" s="38"/>
      <c r="P39" s="109" t="str">
        <f>IF($I39=P$3,IF($F39&gt;14,$F39/100,$F39),"")</f>
        <v/>
      </c>
      <c r="Q39" s="109" t="str">
        <f>IF($I39=Q$3,IF($F39&gt;14,$F39/100,$F39),"")</f>
        <v/>
      </c>
      <c r="R39" s="109" t="str">
        <f>IF($I39=R$3,$F39,"")</f>
        <v/>
      </c>
      <c r="S39" s="109">
        <f t="shared" si="30"/>
        <v>0.21</v>
      </c>
      <c r="T39" s="109">
        <f t="shared" si="26"/>
        <v>0.21</v>
      </c>
      <c r="U39" s="109">
        <f t="shared" si="27"/>
        <v>0.21</v>
      </c>
      <c r="V39" s="109">
        <f t="shared" si="28"/>
        <v>0.21</v>
      </c>
      <c r="W39" s="109">
        <f t="shared" si="29"/>
        <v>0.21</v>
      </c>
      <c r="X39" s="109" t="str">
        <f t="shared" si="13"/>
        <v/>
      </c>
      <c r="Y39" s="109" t="str">
        <f t="shared" si="14"/>
        <v/>
      </c>
      <c r="Z39" s="109" t="str">
        <f t="shared" si="15"/>
        <v/>
      </c>
      <c r="AA39" s="109" t="str">
        <f t="shared" si="16"/>
        <v/>
      </c>
      <c r="AB39" s="109" t="str">
        <f t="shared" si="17"/>
        <v/>
      </c>
      <c r="AC39" s="109" t="str">
        <f>IF(P39="","",_xlfn.RANK.EQ(P39,P$4:P$41,1)+COUNTIF(P39:P$41,P39)-1)</f>
        <v/>
      </c>
      <c r="AD39" s="109" t="str">
        <f>IF(Q39="","",_xlfn.RANK.EQ(Q39,Q$4:Q$41,1)+COUNTIF(Q39:Q$41,Q39)-1)</f>
        <v/>
      </c>
      <c r="AE39" s="109" t="str">
        <f>IF(R39="","",_xlfn.RANK.EQ(R39,R$4:R$41,1)+COUNTIF(R39:R$41,R39)-1)</f>
        <v/>
      </c>
      <c r="AF39" s="109">
        <f>IF(S39="","",_xlfn.RANK.EQ(S39,S$4:S$39,1)+COUNTIF(S39:S$39,S39)-1)</f>
        <v>11</v>
      </c>
      <c r="AG39" s="109">
        <f>IF(T39="","",_xlfn.RANK.EQ(T39,T$4:T$39,1)+COUNTIF(T39:T$39,T39)-1)</f>
        <v>11</v>
      </c>
      <c r="AH39" s="109">
        <f>IF(U39="","",_xlfn.RANK.EQ(U39,U$4:U$39,1)+COUNTIF(U39:U$39,U39)-1)</f>
        <v>11</v>
      </c>
      <c r="AI39" s="109">
        <f>IF(V39="","",_xlfn.RANK.EQ(V39,V$4:V$39,1)+COUNTIF(V39:V$39,V39)-1)</f>
        <v>11</v>
      </c>
      <c r="AJ39" s="109">
        <f>IF(W39="","",_xlfn.RANK.EQ(W39,W$4:W$39,1)+COUNTIF(W39:W$39,W39)-1)</f>
        <v>10</v>
      </c>
      <c r="AK39" s="109" t="str">
        <f>IF(X39="","",_xlfn.RANK.EQ(X39,X$4:X$41,1)+COUNTIF(X39:X$41,X39)-1)</f>
        <v/>
      </c>
      <c r="AL39" s="109" t="str">
        <f>IF(Y39="","",_xlfn.RANK.EQ(Y39,Y$4:Y$41,1)+COUNTIF(Y39:Y$41,Y39)-1)</f>
        <v/>
      </c>
      <c r="AM39" s="109" t="str">
        <f>IF(Z39="","",_xlfn.RANK.EQ(Z39,Z$4:Z$41,1)+COUNTIF(Z39:Z$41,Z39)-1)</f>
        <v/>
      </c>
      <c r="AN39" s="109" t="str">
        <f>IF(AA39="","",_xlfn.RANK.EQ(AA39,AA$4:AA$41,1)+COUNTIF(AA39:AA$41,AA39)-1)</f>
        <v/>
      </c>
      <c r="AO39" s="109" t="str">
        <f>IF(AB39="","",_xlfn.RANK.EQ(AB39,AB$4:AB$41,1)+COUNTIF(AB39:AB$41,AB39)-1)</f>
        <v/>
      </c>
    </row>
    <row r="40" spans="1:41" ht="12.75" customHeight="1">
      <c r="A40" s="73"/>
      <c r="B40" s="58"/>
      <c r="C40" s="58"/>
      <c r="D40" s="58"/>
      <c r="E40" s="58"/>
      <c r="F40" s="58"/>
      <c r="G40" s="59"/>
      <c r="H40" s="58"/>
      <c r="J40" s="58"/>
      <c r="K40" s="58"/>
      <c r="L40" s="58"/>
      <c r="M40" s="58"/>
      <c r="N40" s="58"/>
      <c r="O40" s="59"/>
      <c r="P40" s="30"/>
      <c r="Q40" s="30"/>
      <c r="R40" s="30"/>
      <c r="S40" s="30"/>
      <c r="T40" s="30"/>
      <c r="U40" s="30"/>
      <c r="V40" s="30"/>
      <c r="W40" s="30"/>
      <c r="X40" s="30"/>
      <c r="Y40" s="30"/>
      <c r="Z40" s="30"/>
      <c r="AA40" s="30"/>
      <c r="AB40" s="31"/>
      <c r="AC40" s="31"/>
      <c r="AD40" s="31"/>
      <c r="AE40" s="31"/>
      <c r="AF40" s="31"/>
      <c r="AG40" s="31"/>
      <c r="AH40" s="31"/>
      <c r="AI40" s="31"/>
      <c r="AJ40" s="31"/>
      <c r="AK40" s="31"/>
      <c r="AL40" s="31"/>
      <c r="AM40" s="31"/>
    </row>
    <row r="41" spans="1:41" ht="15" customHeight="1">
      <c r="A41" s="73"/>
      <c r="B41" s="73"/>
      <c r="C41" s="73"/>
      <c r="D41" s="73"/>
      <c r="E41" s="73"/>
      <c r="F41" s="73"/>
      <c r="G41" s="73" t="s">
        <v>51</v>
      </c>
      <c r="H41" s="73"/>
      <c r="I41" s="58"/>
      <c r="J41" s="73"/>
      <c r="K41" s="73"/>
      <c r="L41" s="73"/>
      <c r="M41" s="73"/>
      <c r="N41" s="73"/>
      <c r="O41" s="74"/>
      <c r="P41" s="29"/>
      <c r="Q41" s="29"/>
      <c r="R41" s="29"/>
      <c r="S41" s="29"/>
    </row>
    <row r="42" spans="1:41" ht="12.75" customHeight="1">
      <c r="B42" s="39"/>
      <c r="C42" s="39" t="s">
        <v>0</v>
      </c>
      <c r="D42" s="39" t="s">
        <v>0</v>
      </c>
      <c r="E42" s="39" t="s">
        <v>0</v>
      </c>
      <c r="F42" s="40" t="s">
        <v>16</v>
      </c>
      <c r="G42" s="40" t="s">
        <v>16</v>
      </c>
      <c r="H42" s="40"/>
      <c r="I42" s="40"/>
      <c r="J42" s="40"/>
      <c r="K42" s="40"/>
      <c r="L42" s="40"/>
      <c r="M42" s="40"/>
      <c r="N42" s="40"/>
      <c r="O42" s="41">
        <f>O2</f>
        <v>46106</v>
      </c>
      <c r="P42" s="220" t="s">
        <v>29</v>
      </c>
      <c r="Q42" s="220"/>
      <c r="R42" s="220"/>
      <c r="S42" s="220" t="s">
        <v>34</v>
      </c>
      <c r="T42" s="220"/>
      <c r="U42" s="220"/>
      <c r="V42" s="220"/>
      <c r="W42" s="220"/>
      <c r="X42" s="220" t="s">
        <v>33</v>
      </c>
      <c r="Y42" s="220"/>
      <c r="Z42" s="220"/>
      <c r="AA42" s="220"/>
      <c r="AB42" s="220"/>
      <c r="AC42" s="220" t="s">
        <v>91</v>
      </c>
      <c r="AD42" s="220"/>
      <c r="AE42" s="220"/>
      <c r="AF42" s="220" t="s">
        <v>92</v>
      </c>
      <c r="AG42" s="220"/>
      <c r="AH42" s="220"/>
      <c r="AI42" s="220"/>
      <c r="AJ42" s="220"/>
      <c r="AK42" s="220" t="s">
        <v>93</v>
      </c>
      <c r="AL42" s="220"/>
      <c r="AM42" s="220"/>
      <c r="AN42" s="220"/>
      <c r="AO42" s="220"/>
    </row>
    <row r="43" spans="1:41" ht="12.75" customHeight="1">
      <c r="B43" s="34" t="s">
        <v>26</v>
      </c>
      <c r="C43" s="35" t="s">
        <v>1</v>
      </c>
      <c r="D43" s="35" t="s">
        <v>2</v>
      </c>
      <c r="E43" s="35" t="s">
        <v>6</v>
      </c>
      <c r="F43" s="42" t="s">
        <v>18</v>
      </c>
      <c r="G43" s="42" t="s">
        <v>17</v>
      </c>
      <c r="H43" s="42" t="s">
        <v>42</v>
      </c>
      <c r="I43" s="42" t="s">
        <v>14</v>
      </c>
      <c r="J43" s="42" t="s">
        <v>9</v>
      </c>
      <c r="K43" s="42" t="s">
        <v>10</v>
      </c>
      <c r="L43" s="42" t="s">
        <v>11</v>
      </c>
      <c r="M43" s="42" t="s">
        <v>12</v>
      </c>
      <c r="N43" s="42" t="s">
        <v>13</v>
      </c>
      <c r="O43" s="42" t="s">
        <v>15</v>
      </c>
      <c r="P43" s="136" t="s">
        <v>32</v>
      </c>
      <c r="Q43" s="137" t="s">
        <v>20</v>
      </c>
      <c r="R43" s="137" t="s">
        <v>70</v>
      </c>
      <c r="S43" s="137" t="s">
        <v>74</v>
      </c>
      <c r="T43" s="137" t="s">
        <v>95</v>
      </c>
      <c r="U43" s="137" t="s">
        <v>96</v>
      </c>
      <c r="V43" s="137" t="s">
        <v>97</v>
      </c>
      <c r="W43" s="137" t="s">
        <v>98</v>
      </c>
      <c r="X43" s="137" t="s">
        <v>78</v>
      </c>
      <c r="Y43" s="137" t="s">
        <v>99</v>
      </c>
      <c r="Z43" s="137" t="s">
        <v>100</v>
      </c>
      <c r="AA43" s="137" t="s">
        <v>101</v>
      </c>
      <c r="AB43" s="137" t="s">
        <v>102</v>
      </c>
      <c r="AC43" s="136" t="s">
        <v>83</v>
      </c>
      <c r="AD43" s="137" t="s">
        <v>84</v>
      </c>
      <c r="AE43" s="137" t="s">
        <v>85</v>
      </c>
      <c r="AF43" s="137" t="s">
        <v>86</v>
      </c>
      <c r="AG43" s="137" t="s">
        <v>103</v>
      </c>
      <c r="AH43" s="137" t="s">
        <v>104</v>
      </c>
      <c r="AI43" s="137" t="s">
        <v>105</v>
      </c>
      <c r="AJ43" s="137" t="s">
        <v>106</v>
      </c>
      <c r="AK43" s="137" t="s">
        <v>45</v>
      </c>
      <c r="AL43" s="137" t="s">
        <v>46</v>
      </c>
      <c r="AM43" s="137" t="s">
        <v>47</v>
      </c>
      <c r="AN43" s="137" t="s">
        <v>48</v>
      </c>
      <c r="AO43" s="137" t="s">
        <v>49</v>
      </c>
    </row>
    <row r="44" spans="1:41" ht="12.75" customHeight="1">
      <c r="B44" s="36" t="s">
        <v>28</v>
      </c>
      <c r="C44" s="37">
        <v>5</v>
      </c>
      <c r="D44" s="37" t="s">
        <v>5</v>
      </c>
      <c r="E44" s="37">
        <v>25</v>
      </c>
      <c r="F44" s="44">
        <v>25</v>
      </c>
      <c r="G44" s="165" t="s">
        <v>141</v>
      </c>
      <c r="H44" s="44" t="s">
        <v>52</v>
      </c>
      <c r="I44" s="37" t="s">
        <v>20</v>
      </c>
      <c r="J44" s="37" t="s">
        <v>7</v>
      </c>
      <c r="K44" s="37" t="s">
        <v>7</v>
      </c>
      <c r="L44" s="37" t="s">
        <v>7</v>
      </c>
      <c r="M44" s="37" t="s">
        <v>7</v>
      </c>
      <c r="N44" s="37" t="s">
        <v>7</v>
      </c>
      <c r="O44" s="160"/>
      <c r="P44" s="109" t="str">
        <f t="shared" ref="P44:Q67" si="31">IF($I44=P$3,IF($F44&gt;14,$F44/100,$F44),"")</f>
        <v/>
      </c>
      <c r="Q44" s="109">
        <f t="shared" si="31"/>
        <v>0.25</v>
      </c>
      <c r="R44" s="109" t="str">
        <f t="shared" ref="R44:R87" si="32">IF($I44=R$3,$F44,"")</f>
        <v/>
      </c>
      <c r="S44" s="109" t="str">
        <f t="shared" ref="S44:S87" si="33">IF(J44="AM",IF($F44&gt;14,$F44/100,$F44),"")</f>
        <v/>
      </c>
      <c r="T44" s="109" t="str">
        <f t="shared" ref="T44:T87" si="34">IF(K44="AM",IF($F44&gt;14,$F44/100,$F44),"")</f>
        <v/>
      </c>
      <c r="U44" s="109" t="str">
        <f t="shared" ref="U44:U87" si="35">IF(L44="AM",IF($F44&gt;14,$F44/100,$F44),"")</f>
        <v/>
      </c>
      <c r="V44" s="109" t="str">
        <f t="shared" ref="V44:V87" si="36">IF(M44="AM",IF($F44&gt;14,$F44/100,$F44),"")</f>
        <v/>
      </c>
      <c r="W44" s="109" t="str">
        <f t="shared" ref="W44:W87" si="37">IF(N44="AM",IF($F44&gt;14,$F44/100,$F44),"")</f>
        <v/>
      </c>
      <c r="X44" s="109" t="str">
        <f t="shared" ref="X44:X87" si="38">IF(J44="PM",IF($F44&gt;14,$F44/100,$F44),"")</f>
        <v/>
      </c>
      <c r="Y44" s="109" t="str">
        <f t="shared" ref="Y44:Y87" si="39">IF(K44="PM",IF($F44&gt;14,$F44/100,$F44),"")</f>
        <v/>
      </c>
      <c r="Z44" s="109" t="str">
        <f t="shared" ref="Z44:Z87" si="40">IF(L44="PM",IF($F44&gt;14,$F44/100,$F44),"")</f>
        <v/>
      </c>
      <c r="AA44" s="109" t="str">
        <f t="shared" ref="AA44:AA87" si="41">IF(M44="PM",IF($F44&gt;14,$F44/100,$F44),"")</f>
        <v/>
      </c>
      <c r="AB44" s="109" t="str">
        <f t="shared" ref="AB44:AB87" si="42">IF(N44="PM",IF($F44&gt;14,$F44/100,$F44),"")</f>
        <v/>
      </c>
      <c r="AC44" s="109" t="str">
        <f>IF(P44="","",_xlfn.RANK.EQ(P44,P$44:P$87,1)+COUNTIF(P$44:P44,P44)-1)</f>
        <v/>
      </c>
      <c r="AD44" s="109">
        <f>IF(Q44="","",_xlfn.RANK.EQ(Q44,Q$44:Q$87,1)+COUNTIF(Q$44:Q44,Q44)-1)</f>
        <v>1</v>
      </c>
      <c r="AE44" s="138" t="str">
        <f>IF(R44="","",_xlfn.RANK.EQ(R44,R$44:R$87,1)+COUNTIF(R$44:R90,R44)-1)</f>
        <v/>
      </c>
      <c r="AF44" s="109" t="str">
        <f>IF(S44="","",_xlfn.RANK.EQ(S44,S$44:S$87,1)+COUNTIF(S$44:S44,S44)-1)</f>
        <v/>
      </c>
      <c r="AG44" s="109" t="str">
        <f>IF(T44="","",_xlfn.RANK.EQ(T44,T$44:T$87,1)+COUNTIF(T$44:T44,T44)-1)</f>
        <v/>
      </c>
      <c r="AH44" s="109" t="str">
        <f>IF(U44="","",_xlfn.RANK.EQ(U44,U$44:U$87,1)+COUNTIF(U$44:U44,U44)-1)</f>
        <v/>
      </c>
      <c r="AI44" s="109" t="str">
        <f>IF(V44="","",_xlfn.RANK.EQ(V44,V$44:V$87,1)+COUNTIF(V$44:V44,V44)-1)</f>
        <v/>
      </c>
      <c r="AJ44" s="109" t="str">
        <f>IF(W44="","",_xlfn.RANK.EQ(W44,W$44:W$87,1)+COUNTIF(W$44:W44,W44)-1)</f>
        <v/>
      </c>
      <c r="AK44" s="109" t="str">
        <f>IF(X44="","",_xlfn.RANK.EQ(X44,X$44:X$87,1)+COUNTIF(X$44:X44,X44)-1)</f>
        <v/>
      </c>
      <c r="AL44" s="109" t="str">
        <f>IF(Y44="","",_xlfn.RANK.EQ(Y44,Y$44:Y$87,1)+COUNTIF(Y$44:Y44,Y44)-1)</f>
        <v/>
      </c>
      <c r="AM44" s="109" t="str">
        <f>IF(Z44="","",_xlfn.RANK.EQ(Z44,Z$44:Z$87,1)+COUNTIF(Z$44:Z44,Z44)-1)</f>
        <v/>
      </c>
      <c r="AN44" s="109" t="str">
        <f>IF(AA44="","",_xlfn.RANK.EQ(AA44,AA$44:AA$87,1)+COUNTIF(AA$44:AA44,AA44)-1)</f>
        <v/>
      </c>
      <c r="AO44" s="109" t="str">
        <f>IF(AB44="","",_xlfn.RANK.EQ(AB44,AB$44:AB$87,1)+COUNTIF(AB$44:AB44,AB44)-1)</f>
        <v/>
      </c>
    </row>
    <row r="45" spans="1:41" ht="12.75" customHeight="1">
      <c r="B45" s="36" t="s">
        <v>28</v>
      </c>
      <c r="C45" s="37">
        <v>5</v>
      </c>
      <c r="D45" s="37" t="s">
        <v>5</v>
      </c>
      <c r="E45" s="37">
        <v>25</v>
      </c>
      <c r="F45" s="44">
        <v>25</v>
      </c>
      <c r="G45" s="165" t="s">
        <v>141</v>
      </c>
      <c r="H45" s="44" t="s">
        <v>52</v>
      </c>
      <c r="I45" s="37" t="s">
        <v>63</v>
      </c>
      <c r="J45" s="37" t="s">
        <v>8</v>
      </c>
      <c r="K45" s="37" t="s">
        <v>8</v>
      </c>
      <c r="L45" s="37" t="s">
        <v>8</v>
      </c>
      <c r="M45" s="37" t="s">
        <v>8</v>
      </c>
      <c r="N45" s="37" t="s">
        <v>8</v>
      </c>
      <c r="O45" s="160"/>
      <c r="P45" s="109" t="str">
        <f>IF($I45=P$3,IF($F45&gt;14,$F45/100,$F45),"")</f>
        <v/>
      </c>
      <c r="Q45" s="109" t="str">
        <f>IF($I45=Q$3,IF($F45&gt;14,$F45/100,$F45),"")</f>
        <v/>
      </c>
      <c r="R45" s="109" t="str">
        <f>IF($I45=R$3,$F45,"")</f>
        <v/>
      </c>
      <c r="S45" s="109" t="str">
        <f>IF(J45="AM",IF($F45&gt;14,$F45/100,$F45),"")</f>
        <v/>
      </c>
      <c r="T45" s="109" t="str">
        <f>IF(K45="AM",IF($F45&gt;14,$F45/100,$F45),"")</f>
        <v/>
      </c>
      <c r="U45" s="109" t="str">
        <f>IF(L45="AM",IF($F45&gt;14,$F45/100,$F45),"")</f>
        <v/>
      </c>
      <c r="V45" s="109" t="str">
        <f>IF(M45="AM",IF($F45&gt;14,$F45/100,$F45),"")</f>
        <v/>
      </c>
      <c r="W45" s="109" t="str">
        <f>IF(N45="AM",IF($F45&gt;14,$F45/100,$F45),"")</f>
        <v/>
      </c>
      <c r="X45" s="109">
        <f>IF(J45="PM",IF($F45&gt;14,$F45/100,$F45),"")</f>
        <v>0.25</v>
      </c>
      <c r="Y45" s="109">
        <f>IF(K45="PM",IF($F45&gt;14,$F45/100,$F45),"")</f>
        <v>0.25</v>
      </c>
      <c r="Z45" s="109">
        <f>IF(L45="PM",IF($F45&gt;14,$F45/100,$F45),"")</f>
        <v>0.25</v>
      </c>
      <c r="AA45" s="109">
        <f>IF(M45="PM",IF($F45&gt;14,$F45/100,$F45),"")</f>
        <v>0.25</v>
      </c>
      <c r="AB45" s="109">
        <f>IF(N45="PM",IF($F45&gt;14,$F45/100,$F45),"")</f>
        <v>0.25</v>
      </c>
      <c r="AC45" s="109" t="str">
        <f>IF(P45="","",_xlfn.RANK.EQ(P45,P$44:P$88,1)+COUNTIF(P$44:P45,P45)-1)</f>
        <v/>
      </c>
      <c r="AD45" s="109" t="str">
        <f>IF(Q45="","",_xlfn.RANK.EQ(Q45,Q$44:Q$88,1)+COUNTIF(Q$44:Q45,Q45)-1)</f>
        <v/>
      </c>
      <c r="AE45" s="138" t="str">
        <f>IF(R45="","",_xlfn.RANK.EQ(R45,R$44:R$88,1)+COUNTIF(R$44:R89,R45)-1)</f>
        <v/>
      </c>
      <c r="AF45" s="109" t="str">
        <f>IF(S45="","",_xlfn.RANK.EQ(S45,S$44:S$88,1)+COUNTIF(S$44:S45,S45)-1)</f>
        <v/>
      </c>
      <c r="AG45" s="109" t="str">
        <f>IF(T45="","",_xlfn.RANK.EQ(T45,T$44:T$88,1)+COUNTIF(T$44:T45,T45)-1)</f>
        <v/>
      </c>
      <c r="AH45" s="109" t="str">
        <f>IF(U45="","",_xlfn.RANK.EQ(U45,U$44:U$88,1)+COUNTIF(U$44:U45,U45)-1)</f>
        <v/>
      </c>
      <c r="AI45" s="109" t="str">
        <f>IF(V45="","",_xlfn.RANK.EQ(V45,V$44:V$88,1)+COUNTIF(V$44:V45,V45)-1)</f>
        <v/>
      </c>
      <c r="AJ45" s="109" t="str">
        <f>IF(W45="","",_xlfn.RANK.EQ(W45,W$44:W$88,1)+COUNTIF(W$44:W45,W45)-1)</f>
        <v/>
      </c>
      <c r="AK45" s="109">
        <f>IF(X45="","",_xlfn.RANK.EQ(X45,X$44:X$88,1)+COUNTIF(X$44:X45,X45)-1)</f>
        <v>3</v>
      </c>
      <c r="AL45" s="109">
        <f>IF(Y45="","",_xlfn.RANK.EQ(Y45,Y$44:Y$88,1)+COUNTIF(Y$44:Y45,Y45)-1)</f>
        <v>3</v>
      </c>
      <c r="AM45" s="109">
        <f>IF(Z45="","",_xlfn.RANK.EQ(Z45,Z$44:Z$88,1)+COUNTIF(Z$44:Z45,Z45)-1)</f>
        <v>3</v>
      </c>
      <c r="AN45" s="109">
        <f>IF(AA45="","",_xlfn.RANK.EQ(AA45,AA$44:AA$88,1)+COUNTIF(AA$44:AA45,AA45)-1)</f>
        <v>3</v>
      </c>
      <c r="AO45" s="109">
        <f>IF(AB45="","",_xlfn.RANK.EQ(AB45,AB$44:AB$88,1)+COUNTIF(AB$44:AB45,AB45)-1)</f>
        <v>3</v>
      </c>
    </row>
    <row r="46" spans="1:41" ht="12.75" customHeight="1">
      <c r="B46" s="36" t="s">
        <v>28</v>
      </c>
      <c r="C46" s="37">
        <v>2</v>
      </c>
      <c r="D46" s="37" t="s">
        <v>5</v>
      </c>
      <c r="E46" s="37">
        <v>25</v>
      </c>
      <c r="F46" s="44">
        <v>25</v>
      </c>
      <c r="G46" s="168" t="s">
        <v>174</v>
      </c>
      <c r="H46" s="44" t="s">
        <v>67</v>
      </c>
      <c r="I46" s="37"/>
      <c r="J46" s="37" t="s">
        <v>65</v>
      </c>
      <c r="K46" s="37" t="s">
        <v>65</v>
      </c>
      <c r="L46" s="37" t="s">
        <v>35</v>
      </c>
      <c r="M46" s="37" t="s">
        <v>65</v>
      </c>
      <c r="N46" s="37" t="s">
        <v>65</v>
      </c>
      <c r="O46" s="160" t="s">
        <v>179</v>
      </c>
      <c r="P46" s="109" t="str">
        <f t="shared" si="31"/>
        <v/>
      </c>
      <c r="Q46" s="109" t="str">
        <f t="shared" si="31"/>
        <v/>
      </c>
      <c r="R46" s="109" t="str">
        <f t="shared" si="32"/>
        <v/>
      </c>
      <c r="S46" s="109">
        <f t="shared" si="33"/>
        <v>0.25</v>
      </c>
      <c r="T46" s="109">
        <f t="shared" si="34"/>
        <v>0.25</v>
      </c>
      <c r="U46" s="109">
        <f t="shared" si="35"/>
        <v>0.25</v>
      </c>
      <c r="V46" s="109">
        <f t="shared" si="36"/>
        <v>0.25</v>
      </c>
      <c r="W46" s="109">
        <f t="shared" si="37"/>
        <v>0.25</v>
      </c>
      <c r="X46" s="109" t="str">
        <f t="shared" si="38"/>
        <v/>
      </c>
      <c r="Y46" s="109" t="str">
        <f t="shared" si="39"/>
        <v/>
      </c>
      <c r="Z46" s="109" t="str">
        <f t="shared" si="40"/>
        <v/>
      </c>
      <c r="AA46" s="109" t="str">
        <f t="shared" si="41"/>
        <v/>
      </c>
      <c r="AB46" s="109" t="str">
        <f t="shared" si="42"/>
        <v/>
      </c>
      <c r="AC46" s="109" t="str">
        <f>IF(P46="","",_xlfn.RANK.EQ(P46,P$44:P$88,1)+COUNTIF(P$44:P46,P46)-1)</f>
        <v/>
      </c>
      <c r="AD46" s="109" t="str">
        <f>IF(Q46="","",_xlfn.RANK.EQ(Q46,Q$44:Q$88,1)+COUNTIF(Q$44:Q46,Q46)-1)</f>
        <v/>
      </c>
      <c r="AE46" s="138" t="str">
        <f>IF(R46="","",_xlfn.RANK.EQ(R46,R$44:R$88,1)+COUNTIF(R$44:R89,R46)-1)</f>
        <v/>
      </c>
      <c r="AF46" s="109">
        <f>IF(S46="","",_xlfn.RANK.EQ(S46,S$44:S$88,1)+COUNTIF(S$44:S46,S46)-1)</f>
        <v>3</v>
      </c>
      <c r="AG46" s="109">
        <f>IF(T46="","",_xlfn.RANK.EQ(T46,T$44:T$88,1)+COUNTIF(T$44:T46,T46)-1)</f>
        <v>3</v>
      </c>
      <c r="AH46" s="109">
        <f>IF(U46="","",_xlfn.RANK.EQ(U46,U$44:U$88,1)+COUNTIF(U$44:U46,U46)-1)</f>
        <v>3</v>
      </c>
      <c r="AI46" s="109">
        <f>IF(V46="","",_xlfn.RANK.EQ(V46,V$44:V$88,1)+COUNTIF(V$44:V46,V46)-1)</f>
        <v>3</v>
      </c>
      <c r="AJ46" s="109">
        <f>IF(W46="","",_xlfn.RANK.EQ(W46,W$44:W$88,1)+COUNTIF(W$44:W46,W46)-1)</f>
        <v>3</v>
      </c>
      <c r="AK46" s="109" t="str">
        <f>IF(X46="","",_xlfn.RANK.EQ(X46,X$44:X$88,1)+COUNTIF(X$44:X46,X46)-1)</f>
        <v/>
      </c>
      <c r="AL46" s="109" t="str">
        <f>IF(Y46="","",_xlfn.RANK.EQ(Y46,Y$44:Y$88,1)+COUNTIF(Y$44:Y46,Y46)-1)</f>
        <v/>
      </c>
      <c r="AM46" s="109" t="str">
        <f>IF(Z46="","",_xlfn.RANK.EQ(Z46,Z$44:Z$88,1)+COUNTIF(Z$44:Z46,Z46)-1)</f>
        <v/>
      </c>
      <c r="AN46" s="109" t="str">
        <f>IF(AA46="","",_xlfn.RANK.EQ(AA46,AA$44:AA$88,1)+COUNTIF(AA$44:AA46,AA46)-1)</f>
        <v/>
      </c>
      <c r="AO46" s="109" t="str">
        <f>IF(AB46="","",_xlfn.RANK.EQ(AB46,AB$44:AB$88,1)+COUNTIF(AB$44:AB46,AB46)-1)</f>
        <v/>
      </c>
    </row>
    <row r="47" spans="1:41" ht="12.75" customHeight="1">
      <c r="B47" s="36" t="s">
        <v>28</v>
      </c>
      <c r="C47" s="37">
        <v>2</v>
      </c>
      <c r="D47" s="37" t="s">
        <v>5</v>
      </c>
      <c r="E47" s="37">
        <v>25</v>
      </c>
      <c r="F47" s="44">
        <v>25</v>
      </c>
      <c r="G47" s="72" t="s">
        <v>174</v>
      </c>
      <c r="H47" s="44" t="s">
        <v>67</v>
      </c>
      <c r="I47" s="37"/>
      <c r="J47" s="37" t="s">
        <v>8</v>
      </c>
      <c r="K47" s="37" t="s">
        <v>8</v>
      </c>
      <c r="L47" s="37" t="s">
        <v>8</v>
      </c>
      <c r="M47" s="37" t="s">
        <v>8</v>
      </c>
      <c r="N47" s="37" t="s">
        <v>8</v>
      </c>
      <c r="O47" s="160"/>
      <c r="P47" s="109" t="str">
        <f t="shared" si="31"/>
        <v/>
      </c>
      <c r="Q47" s="109" t="str">
        <f t="shared" si="31"/>
        <v/>
      </c>
      <c r="R47" s="109" t="str">
        <f t="shared" si="32"/>
        <v/>
      </c>
      <c r="S47" s="109" t="str">
        <f t="shared" si="33"/>
        <v/>
      </c>
      <c r="T47" s="109" t="str">
        <f t="shared" si="34"/>
        <v/>
      </c>
      <c r="U47" s="109" t="str">
        <f t="shared" si="35"/>
        <v/>
      </c>
      <c r="V47" s="109" t="str">
        <f t="shared" si="36"/>
        <v/>
      </c>
      <c r="W47" s="109" t="str">
        <f t="shared" si="37"/>
        <v/>
      </c>
      <c r="X47" s="109">
        <f t="shared" si="38"/>
        <v>0.25</v>
      </c>
      <c r="Y47" s="109">
        <f t="shared" si="39"/>
        <v>0.25</v>
      </c>
      <c r="Z47" s="109">
        <f t="shared" si="40"/>
        <v>0.25</v>
      </c>
      <c r="AA47" s="109">
        <f t="shared" si="41"/>
        <v>0.25</v>
      </c>
      <c r="AB47" s="109">
        <f t="shared" si="42"/>
        <v>0.25</v>
      </c>
      <c r="AC47" s="109" t="str">
        <f>IF(P47="","",_xlfn.RANK.EQ(P47,P$44:P$88,1)+COUNTIF(P$44:P47,P47)-1)</f>
        <v/>
      </c>
      <c r="AD47" s="109" t="str">
        <f>IF(Q47="","",_xlfn.RANK.EQ(Q47,Q$44:Q$88,1)+COUNTIF(Q$44:Q47,Q47)-1)</f>
        <v/>
      </c>
      <c r="AE47" s="138" t="str">
        <f>IF(R47="","",_xlfn.RANK.EQ(R47,R$44:R$88,1)+COUNTIF(R$44:R90,R47)-1)</f>
        <v/>
      </c>
      <c r="AF47" s="109" t="str">
        <f>IF(S47="","",_xlfn.RANK.EQ(S47,S$44:S$88,1)+COUNTIF(S$44:S47,S47)-1)</f>
        <v/>
      </c>
      <c r="AG47" s="109" t="str">
        <f>IF(T47="","",_xlfn.RANK.EQ(T47,T$44:T$88,1)+COUNTIF(T$44:T47,T47)-1)</f>
        <v/>
      </c>
      <c r="AH47" s="109" t="str">
        <f>IF(U47="","",_xlfn.RANK.EQ(U47,U$44:U$88,1)+COUNTIF(U$44:U47,U47)-1)</f>
        <v/>
      </c>
      <c r="AI47" s="109" t="str">
        <f>IF(V47="","",_xlfn.RANK.EQ(V47,V$44:V$88,1)+COUNTIF(V$44:V47,V47)-1)</f>
        <v/>
      </c>
      <c r="AJ47" s="109" t="str">
        <f>IF(W47="","",_xlfn.RANK.EQ(W47,W$44:W$88,1)+COUNTIF(W$44:W47,W47)-1)</f>
        <v/>
      </c>
      <c r="AK47" s="109">
        <f>IF(X47="","",_xlfn.RANK.EQ(X47,X$44:X$88,1)+COUNTIF(X$44:X47,X47)-1)</f>
        <v>4</v>
      </c>
      <c r="AL47" s="109">
        <f>IF(Y47="","",_xlfn.RANK.EQ(Y47,Y$44:Y$88,1)+COUNTIF(Y$44:Y47,Y47)-1)</f>
        <v>4</v>
      </c>
      <c r="AM47" s="109">
        <f>IF(Z47="","",_xlfn.RANK.EQ(Z47,Z$44:Z$88,1)+COUNTIF(Z$44:Z47,Z47)-1)</f>
        <v>4</v>
      </c>
      <c r="AN47" s="109">
        <f>IF(AA47="","",_xlfn.RANK.EQ(AA47,AA$44:AA$88,1)+COUNTIF(AA$44:AA47,AA47)-1)</f>
        <v>4</v>
      </c>
      <c r="AO47" s="109">
        <f>IF(AB47="","",_xlfn.RANK.EQ(AB47,AB$44:AB$88,1)+COUNTIF(AB$44:AB47,AB47)-1)</f>
        <v>4</v>
      </c>
    </row>
    <row r="48" spans="1:41" ht="12.75" customHeight="1">
      <c r="B48" s="36" t="s">
        <v>28</v>
      </c>
      <c r="C48" s="37">
        <v>2</v>
      </c>
      <c r="D48" s="37" t="s">
        <v>5</v>
      </c>
      <c r="E48" s="37">
        <v>25</v>
      </c>
      <c r="F48" s="44">
        <v>25</v>
      </c>
      <c r="G48" s="72" t="s">
        <v>174</v>
      </c>
      <c r="H48" s="44" t="s">
        <v>67</v>
      </c>
      <c r="I48" s="37"/>
      <c r="J48" s="37" t="s">
        <v>7</v>
      </c>
      <c r="K48" s="37" t="s">
        <v>7</v>
      </c>
      <c r="L48" s="37" t="s">
        <v>7</v>
      </c>
      <c r="M48" s="37" t="s">
        <v>7</v>
      </c>
      <c r="N48" s="37" t="s">
        <v>7</v>
      </c>
      <c r="O48" s="160"/>
      <c r="P48" s="109" t="str">
        <f t="shared" si="31"/>
        <v/>
      </c>
      <c r="Q48" s="109" t="str">
        <f t="shared" si="31"/>
        <v/>
      </c>
      <c r="R48" s="109" t="str">
        <f t="shared" si="32"/>
        <v/>
      </c>
      <c r="S48" s="109" t="str">
        <f t="shared" si="33"/>
        <v/>
      </c>
      <c r="T48" s="109" t="str">
        <f t="shared" si="34"/>
        <v/>
      </c>
      <c r="U48" s="109" t="str">
        <f t="shared" si="35"/>
        <v/>
      </c>
      <c r="V48" s="109" t="str">
        <f t="shared" si="36"/>
        <v/>
      </c>
      <c r="W48" s="109" t="str">
        <f t="shared" si="37"/>
        <v/>
      </c>
      <c r="X48" s="109" t="str">
        <f t="shared" si="38"/>
        <v/>
      </c>
      <c r="Y48" s="109" t="str">
        <f t="shared" si="39"/>
        <v/>
      </c>
      <c r="Z48" s="109" t="str">
        <f t="shared" si="40"/>
        <v/>
      </c>
      <c r="AA48" s="109" t="str">
        <f t="shared" si="41"/>
        <v/>
      </c>
      <c r="AB48" s="109" t="str">
        <f t="shared" si="42"/>
        <v/>
      </c>
      <c r="AC48" s="109" t="str">
        <f>IF(P48="","",_xlfn.RANK.EQ(P48,P$44:P$88,1)+COUNTIF(P$44:P48,P48)-1)</f>
        <v/>
      </c>
      <c r="AD48" s="109" t="str">
        <f>IF(Q48="","",_xlfn.RANK.EQ(Q48,Q$44:Q$88,1)+COUNTIF(Q$44:Q48,Q48)-1)</f>
        <v/>
      </c>
      <c r="AE48" s="138" t="str">
        <f>IF(R48="","",_xlfn.RANK.EQ(R48,R$44:R$88,1)+COUNTIF(R$44:R91,R48)-1)</f>
        <v/>
      </c>
      <c r="AF48" s="109" t="str">
        <f>IF(S48="","",_xlfn.RANK.EQ(S48,S$44:S$88,1)+COUNTIF(S$44:S48,S48)-1)</f>
        <v/>
      </c>
      <c r="AG48" s="109" t="str">
        <f>IF(T48="","",_xlfn.RANK.EQ(T48,T$44:T$88,1)+COUNTIF(T$44:T48,T48)-1)</f>
        <v/>
      </c>
      <c r="AH48" s="109" t="str">
        <f>IF(U48="","",_xlfn.RANK.EQ(U48,U$44:U$88,1)+COUNTIF(U$44:U48,U48)-1)</f>
        <v/>
      </c>
      <c r="AI48" s="109" t="str">
        <f>IF(V48="","",_xlfn.RANK.EQ(V48,V$44:V$88,1)+COUNTIF(V$44:V48,V48)-1)</f>
        <v/>
      </c>
      <c r="AJ48" s="109" t="str">
        <f>IF(W48="","",_xlfn.RANK.EQ(W48,W$44:W$88,1)+COUNTIF(W$44:W48,W48)-1)</f>
        <v/>
      </c>
      <c r="AK48" s="109" t="str">
        <f>IF(X48="","",_xlfn.RANK.EQ(X48,X$44:X$88,1)+COUNTIF(X$44:X48,X48)-1)</f>
        <v/>
      </c>
      <c r="AL48" s="109" t="str">
        <f>IF(Y48="","",_xlfn.RANK.EQ(Y48,Y$44:Y$88,1)+COUNTIF(Y$44:Y48,Y48)-1)</f>
        <v/>
      </c>
      <c r="AM48" s="109" t="str">
        <f>IF(Z48="","",_xlfn.RANK.EQ(Z48,Z$44:Z$88,1)+COUNTIF(Z$44:Z48,Z48)-1)</f>
        <v/>
      </c>
      <c r="AN48" s="109" t="str">
        <f>IF(AA48="","",_xlfn.RANK.EQ(AA48,AA$44:AA$88,1)+COUNTIF(AA$44:AA48,AA48)-1)</f>
        <v/>
      </c>
      <c r="AO48" s="109" t="str">
        <f>IF(AB48="","",_xlfn.RANK.EQ(AB48,AB$44:AB$88,1)+COUNTIF(AB$44:AB48,AB48)-1)</f>
        <v/>
      </c>
    </row>
    <row r="49" spans="2:41" ht="13.5" customHeight="1">
      <c r="B49" s="36" t="s">
        <v>28</v>
      </c>
      <c r="C49" s="37">
        <v>3</v>
      </c>
      <c r="D49" s="37" t="s">
        <v>5</v>
      </c>
      <c r="E49" s="37">
        <v>25</v>
      </c>
      <c r="F49" s="44">
        <v>5</v>
      </c>
      <c r="G49" s="161" t="s">
        <v>152</v>
      </c>
      <c r="H49" s="44" t="s">
        <v>52</v>
      </c>
      <c r="I49" s="37" t="s">
        <v>63</v>
      </c>
      <c r="J49" s="37" t="s">
        <v>65</v>
      </c>
      <c r="K49" s="37" t="s">
        <v>65</v>
      </c>
      <c r="L49" s="37" t="s">
        <v>65</v>
      </c>
      <c r="M49" s="37" t="s">
        <v>65</v>
      </c>
      <c r="N49" s="37" t="s">
        <v>65</v>
      </c>
      <c r="O49" s="160"/>
      <c r="P49" s="109" t="str">
        <f t="shared" si="31"/>
        <v/>
      </c>
      <c r="Q49" s="109" t="str">
        <f t="shared" si="31"/>
        <v/>
      </c>
      <c r="R49" s="109" t="str">
        <f t="shared" si="32"/>
        <v/>
      </c>
      <c r="S49" s="109">
        <f t="shared" si="33"/>
        <v>5</v>
      </c>
      <c r="T49" s="109">
        <f t="shared" si="34"/>
        <v>5</v>
      </c>
      <c r="U49" s="109">
        <f t="shared" si="35"/>
        <v>5</v>
      </c>
      <c r="V49" s="109">
        <f t="shared" si="36"/>
        <v>5</v>
      </c>
      <c r="W49" s="109">
        <f t="shared" si="37"/>
        <v>5</v>
      </c>
      <c r="X49" s="109" t="str">
        <f t="shared" si="38"/>
        <v/>
      </c>
      <c r="Y49" s="109" t="str">
        <f t="shared" si="39"/>
        <v/>
      </c>
      <c r="Z49" s="109" t="str">
        <f t="shared" si="40"/>
        <v/>
      </c>
      <c r="AA49" s="109" t="str">
        <f t="shared" si="41"/>
        <v/>
      </c>
      <c r="AB49" s="109" t="str">
        <f t="shared" si="42"/>
        <v/>
      </c>
      <c r="AC49" s="109" t="str">
        <f>IF(P49="","",_xlfn.RANK.EQ(P49,P$44:P$87,1)+COUNTIF(P$44:P49,P49)-1)</f>
        <v/>
      </c>
      <c r="AD49" s="109" t="str">
        <f>IF(Q49="","",_xlfn.RANK.EQ(Q49,Q$44:Q$87,1)+COUNTIF(Q$44:Q49,Q49)-1)</f>
        <v/>
      </c>
      <c r="AE49" s="138" t="str">
        <f>IF(R49="","",_xlfn.RANK.EQ(R49,R$44:R$87,1)+COUNTIF(R$44:R92,R49)-1)</f>
        <v/>
      </c>
      <c r="AF49" s="109">
        <f>IF(S49="","",_xlfn.RANK.EQ(S49,S$44:S$87,1)+COUNTIF(S$44:S49,S49)-1)</f>
        <v>6</v>
      </c>
      <c r="AG49" s="109">
        <f>IF(T49="","",_xlfn.RANK.EQ(T49,T$44:T$87,1)+COUNTIF(T$44:T49,T49)-1)</f>
        <v>6</v>
      </c>
      <c r="AH49" s="109">
        <f>IF(U49="","",_xlfn.RANK.EQ(U49,U$44:U$87,1)+COUNTIF(U$44:U49,U49)-1)</f>
        <v>6</v>
      </c>
      <c r="AI49" s="109">
        <f>IF(V49="","",_xlfn.RANK.EQ(V49,V$44:V$87,1)+COUNTIF(V$44:V49,V49)-1)</f>
        <v>6</v>
      </c>
      <c r="AJ49" s="109">
        <f>IF(W49="","",_xlfn.RANK.EQ(W49,W$44:W$87,1)+COUNTIF(W$44:W49,W49)-1)</f>
        <v>6</v>
      </c>
      <c r="AK49" s="109" t="str">
        <f>IF(X49="","",_xlfn.RANK.EQ(X49,X$44:X$87,1)+COUNTIF(X$44:X49,X49)-1)</f>
        <v/>
      </c>
      <c r="AL49" s="109" t="str">
        <f>IF(Y49="","",_xlfn.RANK.EQ(Y49,Y$44:Y$87,1)+COUNTIF(Y$44:Y49,Y49)-1)</f>
        <v/>
      </c>
      <c r="AM49" s="109" t="str">
        <f>IF(Z49="","",_xlfn.RANK.EQ(Z49,Z$44:Z$87,1)+COUNTIF(Z$44:Z49,Z49)-1)</f>
        <v/>
      </c>
      <c r="AN49" s="109" t="str">
        <f>IF(AA49="","",_xlfn.RANK.EQ(AA49,AA$44:AA$87,1)+COUNTIF(AA$44:AA49,AA49)-1)</f>
        <v/>
      </c>
      <c r="AO49" s="109" t="str">
        <f>IF(AB49="","",_xlfn.RANK.EQ(AB49,AB$44:AB$87,1)+COUNTIF(AB$44:AB49,AB49)-1)</f>
        <v/>
      </c>
    </row>
    <row r="50" spans="2:41" ht="13.5" customHeight="1">
      <c r="B50" s="36" t="s">
        <v>28</v>
      </c>
      <c r="C50" s="37">
        <v>3</v>
      </c>
      <c r="D50" s="37" t="s">
        <v>5</v>
      </c>
      <c r="E50" s="37">
        <v>25</v>
      </c>
      <c r="F50" s="44">
        <v>5</v>
      </c>
      <c r="G50" s="161" t="s">
        <v>152</v>
      </c>
      <c r="H50" s="44" t="s">
        <v>52</v>
      </c>
      <c r="I50" s="37" t="s">
        <v>63</v>
      </c>
      <c r="J50" s="37" t="s">
        <v>8</v>
      </c>
      <c r="K50" s="37" t="s">
        <v>8</v>
      </c>
      <c r="L50" s="37" t="s">
        <v>8</v>
      </c>
      <c r="M50" s="37" t="s">
        <v>8</v>
      </c>
      <c r="N50" s="37" t="s">
        <v>8</v>
      </c>
      <c r="O50" s="160"/>
      <c r="P50" s="109" t="str">
        <f t="shared" si="31"/>
        <v/>
      </c>
      <c r="Q50" s="109" t="str">
        <f t="shared" si="31"/>
        <v/>
      </c>
      <c r="R50" s="109" t="str">
        <f t="shared" si="32"/>
        <v/>
      </c>
      <c r="S50" s="109" t="str">
        <f t="shared" si="33"/>
        <v/>
      </c>
      <c r="T50" s="109" t="str">
        <f t="shared" si="34"/>
        <v/>
      </c>
      <c r="U50" s="109" t="str">
        <f t="shared" si="35"/>
        <v/>
      </c>
      <c r="V50" s="109" t="str">
        <f t="shared" si="36"/>
        <v/>
      </c>
      <c r="W50" s="109" t="str">
        <f t="shared" si="37"/>
        <v/>
      </c>
      <c r="X50" s="109">
        <f t="shared" si="38"/>
        <v>5</v>
      </c>
      <c r="Y50" s="109">
        <f t="shared" si="39"/>
        <v>5</v>
      </c>
      <c r="Z50" s="109">
        <f t="shared" si="40"/>
        <v>5</v>
      </c>
      <c r="AA50" s="109">
        <f t="shared" si="41"/>
        <v>5</v>
      </c>
      <c r="AB50" s="109">
        <f t="shared" si="42"/>
        <v>5</v>
      </c>
      <c r="AC50" s="109" t="str">
        <f>IF(P50="","",_xlfn.RANK.EQ(P50,P$44:P$87,1)+COUNTIF(P$44:P50,P50)-1)</f>
        <v/>
      </c>
      <c r="AD50" s="109" t="str">
        <f>IF(Q50="","",_xlfn.RANK.EQ(Q50,Q$44:Q$87,1)+COUNTIF(Q$44:Q50,Q50)-1)</f>
        <v/>
      </c>
      <c r="AE50" s="138" t="str">
        <f>IF(R50="","",_xlfn.RANK.EQ(R50,R$44:R$87,1)+COUNTIF(R$44:R93,R50)-1)</f>
        <v/>
      </c>
      <c r="AF50" s="109" t="str">
        <f>IF(S50="","",_xlfn.RANK.EQ(S50,S$44:S$87,1)+COUNTIF(S$44:S50,S50)-1)</f>
        <v/>
      </c>
      <c r="AG50" s="109" t="str">
        <f>IF(T50="","",_xlfn.RANK.EQ(T50,T$44:T$87,1)+COUNTIF(T$44:T50,T50)-1)</f>
        <v/>
      </c>
      <c r="AH50" s="109" t="str">
        <f>IF(U50="","",_xlfn.RANK.EQ(U50,U$44:U$87,1)+COUNTIF(U$44:U50,U50)-1)</f>
        <v/>
      </c>
      <c r="AI50" s="109" t="str">
        <f>IF(V50="","",_xlfn.RANK.EQ(V50,V$44:V$87,1)+COUNTIF(V$44:V50,V50)-1)</f>
        <v/>
      </c>
      <c r="AJ50" s="109" t="str">
        <f>IF(W50="","",_xlfn.RANK.EQ(W50,W$44:W$87,1)+COUNTIF(W$44:W50,W50)-1)</f>
        <v/>
      </c>
      <c r="AK50" s="109">
        <f>IF(X50="","",_xlfn.RANK.EQ(X50,X$44:X$87,1)+COUNTIF(X$44:X50,X50)-1)</f>
        <v>9</v>
      </c>
      <c r="AL50" s="109">
        <f>IF(Y50="","",_xlfn.RANK.EQ(Y50,Y$44:Y$87,1)+COUNTIF(Y$44:Y50,Y50)-1)</f>
        <v>9</v>
      </c>
      <c r="AM50" s="109">
        <f>IF(Z50="","",_xlfn.RANK.EQ(Z50,Z$44:Z$87,1)+COUNTIF(Z$44:Z50,Z50)-1)</f>
        <v>9</v>
      </c>
      <c r="AN50" s="109">
        <f>IF(AA50="","",_xlfn.RANK.EQ(AA50,AA$44:AA$87,1)+COUNTIF(AA$44:AA50,AA50)-1)</f>
        <v>9</v>
      </c>
      <c r="AO50" s="109">
        <f>IF(AB50="","",_xlfn.RANK.EQ(AB50,AB$44:AB$87,1)+COUNTIF(AB$44:AB50,AB50)-1)</f>
        <v>9</v>
      </c>
    </row>
    <row r="51" spans="2:41" ht="13.5" customHeight="1">
      <c r="B51" s="36" t="s">
        <v>28</v>
      </c>
      <c r="C51" s="37">
        <v>3</v>
      </c>
      <c r="D51" s="37" t="s">
        <v>5</v>
      </c>
      <c r="E51" s="37">
        <v>25</v>
      </c>
      <c r="F51" s="44">
        <v>25</v>
      </c>
      <c r="G51" s="161" t="s">
        <v>171</v>
      </c>
      <c r="H51" s="44" t="s">
        <v>52</v>
      </c>
      <c r="I51" s="37" t="s">
        <v>43</v>
      </c>
      <c r="J51" s="37" t="s">
        <v>43</v>
      </c>
      <c r="K51" s="37" t="s">
        <v>43</v>
      </c>
      <c r="L51" s="37" t="s">
        <v>43</v>
      </c>
      <c r="M51" s="37" t="s">
        <v>43</v>
      </c>
      <c r="N51" s="37" t="s">
        <v>43</v>
      </c>
      <c r="O51" s="160"/>
      <c r="P51" s="109">
        <f t="shared" si="31"/>
        <v>0.25</v>
      </c>
      <c r="Q51" s="109" t="str">
        <f t="shared" si="31"/>
        <v/>
      </c>
      <c r="R51" s="109" t="str">
        <f t="shared" si="32"/>
        <v/>
      </c>
      <c r="S51" s="109" t="str">
        <f t="shared" si="33"/>
        <v/>
      </c>
      <c r="T51" s="109" t="str">
        <f t="shared" si="34"/>
        <v/>
      </c>
      <c r="U51" s="109" t="str">
        <f t="shared" si="35"/>
        <v/>
      </c>
      <c r="V51" s="109" t="str">
        <f t="shared" si="36"/>
        <v/>
      </c>
      <c r="W51" s="109" t="str">
        <f t="shared" si="37"/>
        <v/>
      </c>
      <c r="X51" s="109" t="str">
        <f t="shared" si="38"/>
        <v/>
      </c>
      <c r="Y51" s="109" t="str">
        <f t="shared" si="39"/>
        <v/>
      </c>
      <c r="Z51" s="109" t="str">
        <f t="shared" si="40"/>
        <v/>
      </c>
      <c r="AA51" s="109" t="str">
        <f t="shared" si="41"/>
        <v/>
      </c>
      <c r="AB51" s="109" t="str">
        <f t="shared" si="42"/>
        <v/>
      </c>
      <c r="AC51" s="109">
        <f>IF(P51="","",_xlfn.RANK.EQ(P51,P$44:P$88,1)+COUNTIF(P$44:P51,P51)-1)</f>
        <v>3</v>
      </c>
      <c r="AD51" s="109" t="str">
        <f>IF(Q51="","",_xlfn.RANK.EQ(Q51,Q$44:Q$88,1)+COUNTIF(Q$44:Q51,Q51)-1)</f>
        <v/>
      </c>
      <c r="AE51" s="138" t="str">
        <f>IF(R51="","",_xlfn.RANK.EQ(R51,R$44:R$88,1)+COUNTIF(R$44:R94,R51)-1)</f>
        <v/>
      </c>
      <c r="AF51" s="109" t="str">
        <f>IF(S51="","",_xlfn.RANK.EQ(S51,S$44:S$88,1)+COUNTIF(S$44:S51,S51)-1)</f>
        <v/>
      </c>
      <c r="AG51" s="109" t="str">
        <f>IF(T51="","",_xlfn.RANK.EQ(T51,T$44:T$88,1)+COUNTIF(T$44:T51,T51)-1)</f>
        <v/>
      </c>
      <c r="AH51" s="109" t="str">
        <f>IF(U51="","",_xlfn.RANK.EQ(U51,U$44:U$88,1)+COUNTIF(U$44:U51,U51)-1)</f>
        <v/>
      </c>
      <c r="AI51" s="109" t="str">
        <f>IF(V51="","",_xlfn.RANK.EQ(V51,V$44:V$88,1)+COUNTIF(V$44:V51,V51)-1)</f>
        <v/>
      </c>
      <c r="AJ51" s="109" t="str">
        <f>IF(W51="","",_xlfn.RANK.EQ(W51,W$44:W$88,1)+COUNTIF(W$44:W51,W51)-1)</f>
        <v/>
      </c>
      <c r="AK51" s="109" t="str">
        <f>IF(X51="","",_xlfn.RANK.EQ(X51,X$44:X$88,1)+COUNTIF(X$44:X51,X51)-1)</f>
        <v/>
      </c>
      <c r="AL51" s="109" t="str">
        <f>IF(Y51="","",_xlfn.RANK.EQ(Y51,Y$44:Y$88,1)+COUNTIF(Y$44:Y51,Y51)-1)</f>
        <v/>
      </c>
      <c r="AM51" s="109" t="str">
        <f>IF(Z51="","",_xlfn.RANK.EQ(Z51,Z$44:Z$88,1)+COUNTIF(Z$44:Z51,Z51)-1)</f>
        <v/>
      </c>
      <c r="AN51" s="109" t="str">
        <f>IF(AA51="","",_xlfn.RANK.EQ(AA51,AA$44:AA$88,1)+COUNTIF(AA$44:AA51,AA51)-1)</f>
        <v/>
      </c>
      <c r="AO51" s="109" t="str">
        <f>IF(AB51="","",_xlfn.RANK.EQ(AB51,AB$44:AB$88,1)+COUNTIF(AB$44:AB51,AB51)-1)</f>
        <v/>
      </c>
    </row>
    <row r="52" spans="2:41" ht="13.5" customHeight="1">
      <c r="B52" s="36" t="s">
        <v>28</v>
      </c>
      <c r="C52" s="37">
        <v>109</v>
      </c>
      <c r="D52" s="37" t="s">
        <v>5</v>
      </c>
      <c r="E52" s="37">
        <v>23</v>
      </c>
      <c r="F52" s="44">
        <v>23</v>
      </c>
      <c r="G52" s="161" t="s">
        <v>170</v>
      </c>
      <c r="H52" s="44" t="s">
        <v>67</v>
      </c>
      <c r="I52" s="37" t="s">
        <v>63</v>
      </c>
      <c r="J52" s="37" t="s">
        <v>65</v>
      </c>
      <c r="K52" s="37" t="s">
        <v>65</v>
      </c>
      <c r="L52" s="37" t="s">
        <v>65</v>
      </c>
      <c r="M52" s="37" t="s">
        <v>65</v>
      </c>
      <c r="N52" s="37" t="s">
        <v>65</v>
      </c>
      <c r="O52" s="160"/>
      <c r="P52" s="109" t="str">
        <f t="shared" si="31"/>
        <v/>
      </c>
      <c r="Q52" s="109" t="str">
        <f t="shared" si="31"/>
        <v/>
      </c>
      <c r="R52" s="109" t="str">
        <f t="shared" si="32"/>
        <v/>
      </c>
      <c r="S52" s="109">
        <f t="shared" si="33"/>
        <v>0.23</v>
      </c>
      <c r="T52" s="109">
        <f t="shared" si="34"/>
        <v>0.23</v>
      </c>
      <c r="U52" s="109">
        <f t="shared" si="35"/>
        <v>0.23</v>
      </c>
      <c r="V52" s="109">
        <f t="shared" si="36"/>
        <v>0.23</v>
      </c>
      <c r="W52" s="109">
        <f t="shared" si="37"/>
        <v>0.23</v>
      </c>
      <c r="X52" s="109" t="str">
        <f t="shared" si="38"/>
        <v/>
      </c>
      <c r="Y52" s="109" t="str">
        <f t="shared" si="39"/>
        <v/>
      </c>
      <c r="Z52" s="109" t="str">
        <f t="shared" si="40"/>
        <v/>
      </c>
      <c r="AA52" s="109" t="str">
        <f t="shared" si="41"/>
        <v/>
      </c>
      <c r="AB52" s="109" t="str">
        <f t="shared" si="42"/>
        <v/>
      </c>
      <c r="AC52" s="109" t="str">
        <f>IF(P52="","",_xlfn.RANK.EQ(P52,P$44:P$88,1)+COUNTIF(P$44:P52,P52)-1)</f>
        <v/>
      </c>
      <c r="AD52" s="109" t="str">
        <f>IF(Q52="","",_xlfn.RANK.EQ(Q52,Q$44:Q$88,1)+COUNTIF(Q$44:Q52,Q52)-1)</f>
        <v/>
      </c>
      <c r="AE52" s="138" t="str">
        <f>IF(R52="","",_xlfn.RANK.EQ(R52,R$44:R$88,1)+COUNTIF(R$44:R94,R52)-1)</f>
        <v/>
      </c>
      <c r="AF52" s="109">
        <f>IF(S52="","",_xlfn.RANK.EQ(S52,S$44:S$88,1)+COUNTIF(S$44:S52,S52)-1)</f>
        <v>2</v>
      </c>
      <c r="AG52" s="109">
        <f>IF(T52="","",_xlfn.RANK.EQ(T52,T$44:T$88,1)+COUNTIF(T$44:T52,T52)-1)</f>
        <v>2</v>
      </c>
      <c r="AH52" s="109">
        <f>IF(U52="","",_xlfn.RANK.EQ(U52,U$44:U$88,1)+COUNTIF(U$44:U52,U52)-1)</f>
        <v>2</v>
      </c>
      <c r="AI52" s="109">
        <f>IF(V52="","",_xlfn.RANK.EQ(V52,V$44:V$88,1)+COUNTIF(V$44:V52,V52)-1)</f>
        <v>2</v>
      </c>
      <c r="AJ52" s="109">
        <f>IF(W52="","",_xlfn.RANK.EQ(W52,W$44:W$88,1)+COUNTIF(W$44:W52,W52)-1)</f>
        <v>2</v>
      </c>
      <c r="AK52" s="109" t="str">
        <f>IF(X52="","",_xlfn.RANK.EQ(X52,X$44:X$88,1)+COUNTIF(X$44:X52,X52)-1)</f>
        <v/>
      </c>
      <c r="AL52" s="109" t="str">
        <f>IF(Y52="","",_xlfn.RANK.EQ(Y52,Y$44:Y$88,1)+COUNTIF(Y$44:Y52,Y52)-1)</f>
        <v/>
      </c>
      <c r="AM52" s="109" t="str">
        <f>IF(Z52="","",_xlfn.RANK.EQ(Z52,Z$44:Z$88,1)+COUNTIF(Z$44:Z52,Z52)-1)</f>
        <v/>
      </c>
      <c r="AN52" s="109" t="str">
        <f>IF(AA52="","",_xlfn.RANK.EQ(AA52,AA$44:AA$88,1)+COUNTIF(AA$44:AA52,AA52)-1)</f>
        <v/>
      </c>
      <c r="AO52" s="109" t="str">
        <f>IF(AB52="","",_xlfn.RANK.EQ(AB52,AB$44:AB$88,1)+COUNTIF(AB$44:AB52,AB52)-1)</f>
        <v/>
      </c>
    </row>
    <row r="53" spans="2:41" ht="13.5" customHeight="1">
      <c r="B53" s="36" t="s">
        <v>28</v>
      </c>
      <c r="C53" s="37">
        <v>109</v>
      </c>
      <c r="D53" s="37" t="s">
        <v>5</v>
      </c>
      <c r="E53" s="37">
        <v>23</v>
      </c>
      <c r="F53" s="44">
        <v>23</v>
      </c>
      <c r="G53" s="161" t="s">
        <v>170</v>
      </c>
      <c r="H53" s="44" t="s">
        <v>67</v>
      </c>
      <c r="I53" s="37" t="s">
        <v>63</v>
      </c>
      <c r="J53" s="37" t="s">
        <v>8</v>
      </c>
      <c r="K53" s="37" t="s">
        <v>8</v>
      </c>
      <c r="L53" s="37" t="s">
        <v>8</v>
      </c>
      <c r="M53" s="37" t="s">
        <v>8</v>
      </c>
      <c r="N53" s="37" t="s">
        <v>8</v>
      </c>
      <c r="O53" s="160"/>
      <c r="P53" s="109" t="str">
        <f t="shared" si="31"/>
        <v/>
      </c>
      <c r="Q53" s="109" t="str">
        <f t="shared" si="31"/>
        <v/>
      </c>
      <c r="R53" s="109" t="str">
        <f t="shared" si="32"/>
        <v/>
      </c>
      <c r="S53" s="109" t="str">
        <f t="shared" si="33"/>
        <v/>
      </c>
      <c r="T53" s="109" t="str">
        <f t="shared" si="34"/>
        <v/>
      </c>
      <c r="U53" s="109" t="str">
        <f t="shared" si="35"/>
        <v/>
      </c>
      <c r="V53" s="109" t="str">
        <f t="shared" si="36"/>
        <v/>
      </c>
      <c r="W53" s="109" t="str">
        <f t="shared" si="37"/>
        <v/>
      </c>
      <c r="X53" s="109">
        <f t="shared" si="38"/>
        <v>0.23</v>
      </c>
      <c r="Y53" s="109">
        <f t="shared" si="39"/>
        <v>0.23</v>
      </c>
      <c r="Z53" s="109">
        <f t="shared" si="40"/>
        <v>0.23</v>
      </c>
      <c r="AA53" s="109">
        <f t="shared" si="41"/>
        <v>0.23</v>
      </c>
      <c r="AB53" s="109">
        <f t="shared" si="42"/>
        <v>0.23</v>
      </c>
      <c r="AC53" s="109" t="str">
        <f>IF(P53="","",_xlfn.RANK.EQ(P53,P$44:P$88,1)+COUNTIF(P$44:P53,P53)-1)</f>
        <v/>
      </c>
      <c r="AD53" s="109" t="str">
        <f>IF(Q53="","",_xlfn.RANK.EQ(Q53,Q$44:Q$88,1)+COUNTIF(Q$44:Q53,Q53)-1)</f>
        <v/>
      </c>
      <c r="AE53" s="138" t="str">
        <f>IF(R53="","",_xlfn.RANK.EQ(R53,R$44:R$88,1)+COUNTIF(R$44:R95,R53)-1)</f>
        <v/>
      </c>
      <c r="AF53" s="109" t="str">
        <f>IF(S53="","",_xlfn.RANK.EQ(S53,S$44:S$88,1)+COUNTIF(S$44:S53,S53)-1)</f>
        <v/>
      </c>
      <c r="AG53" s="109" t="str">
        <f>IF(T53="","",_xlfn.RANK.EQ(T53,T$44:T$88,1)+COUNTIF(T$44:T53,T53)-1)</f>
        <v/>
      </c>
      <c r="AH53" s="109" t="str">
        <f>IF(U53="","",_xlfn.RANK.EQ(U53,U$44:U$88,1)+COUNTIF(U$44:U53,U53)-1)</f>
        <v/>
      </c>
      <c r="AI53" s="109" t="str">
        <f>IF(V53="","",_xlfn.RANK.EQ(V53,V$44:V$88,1)+COUNTIF(V$44:V53,V53)-1)</f>
        <v/>
      </c>
      <c r="AJ53" s="109" t="str">
        <f>IF(W53="","",_xlfn.RANK.EQ(W53,W$44:W$88,1)+COUNTIF(W$44:W53,W53)-1)</f>
        <v/>
      </c>
      <c r="AK53" s="109">
        <f>IF(X53="","",_xlfn.RANK.EQ(X53,X$44:X$88,1)+COUNTIF(X$44:X53,X53)-1)</f>
        <v>1</v>
      </c>
      <c r="AL53" s="109">
        <f>IF(Y53="","",_xlfn.RANK.EQ(Y53,Y$44:Y$88,1)+COUNTIF(Y$44:Y53,Y53)-1)</f>
        <v>1</v>
      </c>
      <c r="AM53" s="109">
        <f>IF(Z53="","",_xlfn.RANK.EQ(Z53,Z$44:Z$88,1)+COUNTIF(Z$44:Z53,Z53)-1)</f>
        <v>1</v>
      </c>
      <c r="AN53" s="109">
        <f>IF(AA53="","",_xlfn.RANK.EQ(AA53,AA$44:AA$88,1)+COUNTIF(AA$44:AA53,AA53)-1)</f>
        <v>1</v>
      </c>
      <c r="AO53" s="109">
        <f>IF(AB53="","",_xlfn.RANK.EQ(AB53,AB$44:AB$88,1)+COUNTIF(AB$44:AB53,AB53)-1)</f>
        <v>1</v>
      </c>
    </row>
    <row r="54" spans="2:41" ht="13.5" customHeight="1">
      <c r="B54" s="36" t="s">
        <v>28</v>
      </c>
      <c r="C54" s="37">
        <v>109</v>
      </c>
      <c r="D54" s="37" t="s">
        <v>5</v>
      </c>
      <c r="E54" s="37">
        <v>23</v>
      </c>
      <c r="F54" s="44">
        <v>23</v>
      </c>
      <c r="G54" s="161" t="s">
        <v>170</v>
      </c>
      <c r="H54" s="44" t="s">
        <v>67</v>
      </c>
      <c r="I54" s="37" t="s">
        <v>57</v>
      </c>
      <c r="J54" s="37" t="s">
        <v>43</v>
      </c>
      <c r="K54" s="37" t="s">
        <v>43</v>
      </c>
      <c r="L54" s="37" t="s">
        <v>43</v>
      </c>
      <c r="M54" s="37" t="s">
        <v>43</v>
      </c>
      <c r="N54" s="37" t="s">
        <v>43</v>
      </c>
      <c r="O54" s="160"/>
      <c r="P54" s="109">
        <f>IF($I54=P$3,IF($F54&gt;14,$F54/100,$F54),"")</f>
        <v>0.23</v>
      </c>
      <c r="Q54" s="109" t="str">
        <f>IF($I54=Q$3,IF($F54&gt;14,$F54/100,$F54),"")</f>
        <v/>
      </c>
      <c r="R54" s="109" t="str">
        <f>IF($I54=R$3,$F54,"")</f>
        <v/>
      </c>
      <c r="S54" s="109" t="str">
        <f t="shared" ref="S54:W55" si="43">IF(J54="AM",IF($F54&gt;14,$F54/100,$F54),"")</f>
        <v/>
      </c>
      <c r="T54" s="109" t="str">
        <f t="shared" si="43"/>
        <v/>
      </c>
      <c r="U54" s="109" t="str">
        <f t="shared" si="43"/>
        <v/>
      </c>
      <c r="V54" s="109" t="str">
        <f t="shared" si="43"/>
        <v/>
      </c>
      <c r="W54" s="109" t="str">
        <f t="shared" si="43"/>
        <v/>
      </c>
      <c r="X54" s="109" t="str">
        <f t="shared" ref="X54:AB55" si="44">IF(J54="PM",IF($F54&gt;14,$F54/100,$F54),"")</f>
        <v/>
      </c>
      <c r="Y54" s="109" t="str">
        <f t="shared" si="44"/>
        <v/>
      </c>
      <c r="Z54" s="109" t="str">
        <f t="shared" si="44"/>
        <v/>
      </c>
      <c r="AA54" s="109" t="str">
        <f t="shared" si="44"/>
        <v/>
      </c>
      <c r="AB54" s="109" t="str">
        <f t="shared" si="44"/>
        <v/>
      </c>
      <c r="AC54" s="109">
        <f>IF(P54="","",_xlfn.RANK.EQ(P54,P$44:P$88,1)+COUNTIF(P$44:P54,P54)-1)</f>
        <v>1</v>
      </c>
      <c r="AD54" s="109" t="str">
        <f>IF(Q54="","",_xlfn.RANK.EQ(Q54,Q$44:Q$88,1)+COUNTIF(Q$44:Q54,Q54)-1)</f>
        <v/>
      </c>
      <c r="AE54" s="138" t="str">
        <f>IF(R54="","",_xlfn.RANK.EQ(R54,R$44:R$88,1)+COUNTIF(R$44:R98,R54)-1)</f>
        <v/>
      </c>
      <c r="AF54" s="109" t="str">
        <f>IF(S54="","",_xlfn.RANK.EQ(S54,S$44:S$88,1)+COUNTIF(S$44:S54,S54)-1)</f>
        <v/>
      </c>
      <c r="AG54" s="109" t="str">
        <f>IF(T54="","",_xlfn.RANK.EQ(T54,T$44:T$88,1)+COUNTIF(T$44:T54,T54)-1)</f>
        <v/>
      </c>
      <c r="AH54" s="109" t="str">
        <f>IF(U54="","",_xlfn.RANK.EQ(U54,U$44:U$88,1)+COUNTIF(U$44:U54,U54)-1)</f>
        <v/>
      </c>
      <c r="AI54" s="109" t="str">
        <f>IF(V54="","",_xlfn.RANK.EQ(V54,V$44:V$88,1)+COUNTIF(V$44:V54,V54)-1)</f>
        <v/>
      </c>
      <c r="AJ54" s="109" t="str">
        <f>IF(W54="","",_xlfn.RANK.EQ(W54,W$44:W$88,1)+COUNTIF(W$44:W54,W54)-1)</f>
        <v/>
      </c>
      <c r="AK54" s="109" t="str">
        <f>IF(X54="","",_xlfn.RANK.EQ(X54,X$44:X$88,1)+COUNTIF(X$44:X54,X54)-1)</f>
        <v/>
      </c>
      <c r="AL54" s="109" t="str">
        <f>IF(Y54="","",_xlfn.RANK.EQ(Y54,Y$44:Y$88,1)+COUNTIF(Y$44:Y54,Y54)-1)</f>
        <v/>
      </c>
      <c r="AM54" s="109" t="str">
        <f>IF(Z54="","",_xlfn.RANK.EQ(Z54,Z$44:Z$88,1)+COUNTIF(Z$44:Z54,Z54)-1)</f>
        <v/>
      </c>
      <c r="AN54" s="109" t="str">
        <f>IF(AA54="","",_xlfn.RANK.EQ(AA54,AA$44:AA$88,1)+COUNTIF(AA$44:AA54,AA54)-1)</f>
        <v/>
      </c>
      <c r="AO54" s="109" t="str">
        <f>IF(AB54="","",_xlfn.RANK.EQ(AB54,AB$44:AB$88,1)+COUNTIF(AB$44:AB54,AB54)-1)</f>
        <v/>
      </c>
    </row>
    <row r="55" spans="2:41" ht="13.5" customHeight="1">
      <c r="B55" s="36" t="s">
        <v>28</v>
      </c>
      <c r="C55" s="37"/>
      <c r="D55" s="37" t="s">
        <v>192</v>
      </c>
      <c r="E55" s="37">
        <v>23</v>
      </c>
      <c r="F55" s="44">
        <v>23</v>
      </c>
      <c r="G55" s="161" t="s">
        <v>151</v>
      </c>
      <c r="H55" s="44" t="s">
        <v>67</v>
      </c>
      <c r="I55" s="37" t="s">
        <v>57</v>
      </c>
      <c r="J55" s="37" t="s">
        <v>43</v>
      </c>
      <c r="K55" s="37" t="s">
        <v>43</v>
      </c>
      <c r="L55" s="37" t="s">
        <v>43</v>
      </c>
      <c r="M55" s="37" t="s">
        <v>43</v>
      </c>
      <c r="N55" s="37" t="s">
        <v>43</v>
      </c>
      <c r="O55" s="160"/>
      <c r="P55" s="109">
        <f>IF($I55=P$3,IF($F55&gt;14,$F55/100,$F55),"")</f>
        <v>0.23</v>
      </c>
      <c r="Q55" s="109" t="str">
        <f>IF($I55=Q$3,IF($F55&gt;14,$F55/100,$F55),"")</f>
        <v/>
      </c>
      <c r="R55" s="109" t="str">
        <f>IF($I55=R$3,$F55,"")</f>
        <v/>
      </c>
      <c r="S55" s="109" t="str">
        <f t="shared" si="43"/>
        <v/>
      </c>
      <c r="T55" s="109" t="str">
        <f t="shared" si="43"/>
        <v/>
      </c>
      <c r="U55" s="109" t="str">
        <f t="shared" si="43"/>
        <v/>
      </c>
      <c r="V55" s="109" t="str">
        <f t="shared" si="43"/>
        <v/>
      </c>
      <c r="W55" s="109" t="str">
        <f t="shared" si="43"/>
        <v/>
      </c>
      <c r="X55" s="109" t="str">
        <f t="shared" si="44"/>
        <v/>
      </c>
      <c r="Y55" s="109" t="str">
        <f t="shared" si="44"/>
        <v/>
      </c>
      <c r="Z55" s="109" t="str">
        <f t="shared" si="44"/>
        <v/>
      </c>
      <c r="AA55" s="109" t="str">
        <f t="shared" si="44"/>
        <v/>
      </c>
      <c r="AB55" s="109" t="str">
        <f t="shared" si="44"/>
        <v/>
      </c>
      <c r="AC55" s="109">
        <f>IF(P55="","",_xlfn.RANK.EQ(P55,P$44:P$88,1)+COUNTIF(P$44:P55,P55)-1)</f>
        <v>2</v>
      </c>
      <c r="AD55" s="109" t="str">
        <f>IF(Q55="","",_xlfn.RANK.EQ(Q55,Q$44:Q$88,1)+COUNTIF(Q$44:Q55,Q55)-1)</f>
        <v/>
      </c>
      <c r="AE55" s="138" t="str">
        <f>IF(R55="","",_xlfn.RANK.EQ(R55,R$44:R$88,1)+COUNTIF(R$44:R98,R55)-1)</f>
        <v/>
      </c>
      <c r="AF55" s="109" t="str">
        <f>IF(S55="","",_xlfn.RANK.EQ(S55,S$44:S$88,1)+COUNTIF(S$44:S55,S55)-1)</f>
        <v/>
      </c>
      <c r="AG55" s="109" t="str">
        <f>IF(T55="","",_xlfn.RANK.EQ(T55,T$44:T$88,1)+COUNTIF(T$44:T55,T55)-1)</f>
        <v/>
      </c>
      <c r="AH55" s="109" t="str">
        <f>IF(U55="","",_xlfn.RANK.EQ(U55,U$44:U$88,1)+COUNTIF(U$44:U55,U55)-1)</f>
        <v/>
      </c>
      <c r="AI55" s="109" t="str">
        <f>IF(V55="","",_xlfn.RANK.EQ(V55,V$44:V$88,1)+COUNTIF(V$44:V55,V55)-1)</f>
        <v/>
      </c>
      <c r="AJ55" s="109" t="str">
        <f>IF(W55="","",_xlfn.RANK.EQ(W55,W$44:W$88,1)+COUNTIF(W$44:W55,W55)-1)</f>
        <v/>
      </c>
      <c r="AK55" s="109" t="str">
        <f>IF(X55="","",_xlfn.RANK.EQ(X55,X$44:X$88,1)+COUNTIF(X$44:X55,X55)-1)</f>
        <v/>
      </c>
      <c r="AL55" s="109" t="str">
        <f>IF(Y55="","",_xlfn.RANK.EQ(Y55,Y$44:Y$88,1)+COUNTIF(Y$44:Y55,Y55)-1)</f>
        <v/>
      </c>
      <c r="AM55" s="109" t="str">
        <f>IF(Z55="","",_xlfn.RANK.EQ(Z55,Z$44:Z$88,1)+COUNTIF(Z$44:Z55,Z55)-1)</f>
        <v/>
      </c>
      <c r="AN55" s="109" t="str">
        <f>IF(AA55="","",_xlfn.RANK.EQ(AA55,AA$44:AA$88,1)+COUNTIF(AA$44:AA55,AA55)-1)</f>
        <v/>
      </c>
      <c r="AO55" s="109" t="str">
        <f>IF(AB55="","",_xlfn.RANK.EQ(AB55,AB$44:AB$88,1)+COUNTIF(AB$44:AB55,AB55)-1)</f>
        <v/>
      </c>
    </row>
    <row r="56" spans="2:41" ht="13.5" customHeight="1">
      <c r="B56" s="36" t="s">
        <v>28</v>
      </c>
      <c r="C56" s="37">
        <v>2</v>
      </c>
      <c r="D56" s="37" t="s">
        <v>62</v>
      </c>
      <c r="E56" s="37"/>
      <c r="F56" s="44"/>
      <c r="G56" s="43"/>
      <c r="H56" s="37"/>
      <c r="I56" s="37"/>
      <c r="J56" s="37"/>
      <c r="K56" s="37"/>
      <c r="L56" s="37"/>
      <c r="M56" s="37"/>
      <c r="N56" s="37"/>
      <c r="O56" s="160"/>
      <c r="P56" s="109" t="str">
        <f t="shared" si="31"/>
        <v/>
      </c>
      <c r="Q56" s="109" t="str">
        <f t="shared" si="31"/>
        <v/>
      </c>
      <c r="R56" s="109" t="str">
        <f t="shared" si="32"/>
        <v/>
      </c>
      <c r="S56" s="109" t="str">
        <f t="shared" si="33"/>
        <v/>
      </c>
      <c r="T56" s="109" t="str">
        <f t="shared" si="34"/>
        <v/>
      </c>
      <c r="U56" s="109" t="str">
        <f t="shared" si="35"/>
        <v/>
      </c>
      <c r="V56" s="109" t="str">
        <f t="shared" si="36"/>
        <v/>
      </c>
      <c r="W56" s="109" t="str">
        <f t="shared" si="37"/>
        <v/>
      </c>
      <c r="X56" s="109" t="str">
        <f t="shared" si="38"/>
        <v/>
      </c>
      <c r="Y56" s="109" t="str">
        <f t="shared" si="39"/>
        <v/>
      </c>
      <c r="Z56" s="109" t="str">
        <f t="shared" si="40"/>
        <v/>
      </c>
      <c r="AA56" s="109" t="str">
        <f t="shared" si="41"/>
        <v/>
      </c>
      <c r="AB56" s="109" t="str">
        <f t="shared" si="42"/>
        <v/>
      </c>
      <c r="AC56" s="109" t="str">
        <f>IF(P56="","",_xlfn.RANK.EQ(P56,P$44:P$87,1)+COUNTIF(P$44:P56,P56)-1)</f>
        <v/>
      </c>
      <c r="AD56" s="109" t="str">
        <f>IF(Q56="","",_xlfn.RANK.EQ(Q56,Q$44:Q$87,1)+COUNTIF(Q$44:Q56,Q56)-1)</f>
        <v/>
      </c>
      <c r="AE56" s="138" t="str">
        <f>IF(R56="","",_xlfn.RANK.EQ(R56,R$44:R$87,1)+COUNTIF(R$44:R95,R56)-1)</f>
        <v/>
      </c>
      <c r="AF56" s="109" t="str">
        <f>IF(S56="","",_xlfn.RANK.EQ(S56,S$44:S$87,1)+COUNTIF(S$44:S56,S56)-1)</f>
        <v/>
      </c>
      <c r="AG56" s="109" t="str">
        <f>IF(T56="","",_xlfn.RANK.EQ(T56,T$44:T$87,1)+COUNTIF(T$44:T56,T56)-1)</f>
        <v/>
      </c>
      <c r="AH56" s="109" t="str">
        <f>IF(U56="","",_xlfn.RANK.EQ(U56,U$44:U$87,1)+COUNTIF(U$44:U56,U56)-1)</f>
        <v/>
      </c>
      <c r="AI56" s="109" t="str">
        <f>IF(V56="","",_xlfn.RANK.EQ(V56,V$44:V$87,1)+COUNTIF(V$44:V56,V56)-1)</f>
        <v/>
      </c>
      <c r="AJ56" s="109" t="str">
        <f>IF(W56="","",_xlfn.RANK.EQ(W56,W$44:W$87,1)+COUNTIF(W$44:W56,W56)-1)</f>
        <v/>
      </c>
      <c r="AK56" s="109" t="str">
        <f>IF(X56="","",_xlfn.RANK.EQ(X56,X$44:X$87,1)+COUNTIF(X$44:X56,X56)-1)</f>
        <v/>
      </c>
      <c r="AL56" s="109" t="str">
        <f>IF(Y56="","",_xlfn.RANK.EQ(Y56,Y$44:Y$87,1)+COUNTIF(Y$44:Y56,Y56)-1)</f>
        <v/>
      </c>
      <c r="AM56" s="109" t="str">
        <f>IF(Z56="","",_xlfn.RANK.EQ(Z56,Z$44:Z$87,1)+COUNTIF(Z$44:Z56,Z56)-1)</f>
        <v/>
      </c>
      <c r="AN56" s="109" t="str">
        <f>IF(AA56="","",_xlfn.RANK.EQ(AA56,AA$44:AA$87,1)+COUNTIF(AA$44:AA56,AA56)-1)</f>
        <v/>
      </c>
      <c r="AO56" s="109" t="str">
        <f>IF(AB56="","",_xlfn.RANK.EQ(AB56,AB$44:AB$87,1)+COUNTIF(AB$44:AB56,AB56)-1)</f>
        <v/>
      </c>
    </row>
    <row r="57" spans="2:41" ht="12.75" customHeight="1">
      <c r="B57" s="36" t="s">
        <v>28</v>
      </c>
      <c r="C57" s="37">
        <v>119</v>
      </c>
      <c r="D57" s="37" t="s">
        <v>62</v>
      </c>
      <c r="E57" s="37">
        <v>1</v>
      </c>
      <c r="F57" s="44">
        <v>1</v>
      </c>
      <c r="G57" s="162" t="s">
        <v>142</v>
      </c>
      <c r="H57" s="37" t="s">
        <v>44</v>
      </c>
      <c r="I57" s="37" t="s">
        <v>177</v>
      </c>
      <c r="J57" s="37"/>
      <c r="K57" s="37" t="s">
        <v>8</v>
      </c>
      <c r="L57" s="37"/>
      <c r="M57" s="37" t="s">
        <v>8</v>
      </c>
      <c r="N57" s="37"/>
      <c r="O57" s="160"/>
      <c r="P57" s="109" t="str">
        <f t="shared" si="31"/>
        <v/>
      </c>
      <c r="Q57" s="109" t="str">
        <f t="shared" si="31"/>
        <v/>
      </c>
      <c r="R57" s="109" t="str">
        <f t="shared" si="32"/>
        <v/>
      </c>
      <c r="S57" s="109" t="str">
        <f t="shared" si="33"/>
        <v/>
      </c>
      <c r="T57" s="109" t="str">
        <f t="shared" si="34"/>
        <v/>
      </c>
      <c r="U57" s="109" t="str">
        <f t="shared" si="35"/>
        <v/>
      </c>
      <c r="V57" s="109" t="str">
        <f t="shared" si="36"/>
        <v/>
      </c>
      <c r="W57" s="109" t="str">
        <f t="shared" si="37"/>
        <v/>
      </c>
      <c r="X57" s="109" t="str">
        <f t="shared" si="38"/>
        <v/>
      </c>
      <c r="Y57" s="109">
        <f t="shared" si="39"/>
        <v>1</v>
      </c>
      <c r="Z57" s="109" t="str">
        <f t="shared" si="40"/>
        <v/>
      </c>
      <c r="AA57" s="109">
        <f t="shared" si="41"/>
        <v>1</v>
      </c>
      <c r="AB57" s="109" t="str">
        <f t="shared" si="42"/>
        <v/>
      </c>
      <c r="AC57" s="109" t="str">
        <f>IF(P57="","",_xlfn.RANK.EQ(P57,P$44:P$87,1)+COUNTIF(P$44:P57,P57)-1)</f>
        <v/>
      </c>
      <c r="AD57" s="109" t="str">
        <f>IF(Q57="","",_xlfn.RANK.EQ(Q57,Q$44:Q$87,1)+COUNTIF(Q$44:Q57,Q57)-1)</f>
        <v/>
      </c>
      <c r="AE57" s="139" t="str">
        <f>IF(R57="","",_xlfn.RANK.EQ(R57,R$44:R$87,1)+COUNTIF(R$44:R87,R57)-1)</f>
        <v/>
      </c>
      <c r="AF57" s="109" t="str">
        <f>IF(S57="","",_xlfn.RANK.EQ(S57,S$44:S$87,1)+COUNTIF(S$44:S57,S57)-1)</f>
        <v/>
      </c>
      <c r="AG57" s="109" t="str">
        <f>IF(T57="","",_xlfn.RANK.EQ(T57,T$44:T$87,1)+COUNTIF(T$44:T57,T57)-1)</f>
        <v/>
      </c>
      <c r="AH57" s="109" t="str">
        <f>IF(U57="","",_xlfn.RANK.EQ(U57,U$44:U$87,1)+COUNTIF(U$44:U57,U57)-1)</f>
        <v/>
      </c>
      <c r="AI57" s="109" t="str">
        <f>IF(V57="","",_xlfn.RANK.EQ(V57,V$44:V$87,1)+COUNTIF(V$44:V57,V57)-1)</f>
        <v/>
      </c>
      <c r="AJ57" s="109" t="str">
        <f>IF(W57="","",_xlfn.RANK.EQ(W57,W$44:W$87,1)+COUNTIF(W$44:W57,W57)-1)</f>
        <v/>
      </c>
      <c r="AK57" s="109" t="str">
        <f>IF(X57="","",_xlfn.RANK.EQ(X57,X$44:X$87,1)+COUNTIF(X$44:X57,X57)-1)</f>
        <v/>
      </c>
      <c r="AL57" s="109">
        <f>IF(Y57="","",_xlfn.RANK.EQ(Y57,Y$44:Y$87,1)+COUNTIF(Y$44:Y57,Y57)-1)</f>
        <v>7</v>
      </c>
      <c r="AM57" s="109" t="str">
        <f>IF(Z57="","",_xlfn.RANK.EQ(Z57,Z$44:Z$87,1)+COUNTIF(Z$44:Z57,Z57)-1)</f>
        <v/>
      </c>
      <c r="AN57" s="109">
        <f>IF(AA57="","",_xlfn.RANK.EQ(AA57,AA$44:AA$87,1)+COUNTIF(AA$44:AA57,AA57)-1)</f>
        <v>7</v>
      </c>
      <c r="AO57" s="109" t="str">
        <f>IF(AB57="","",_xlfn.RANK.EQ(AB57,AB$44:AB$87,1)+COUNTIF(AB$44:AB57,AB57)-1)</f>
        <v/>
      </c>
    </row>
    <row r="58" spans="2:41" ht="12.75" customHeight="1">
      <c r="B58" s="36" t="s">
        <v>28</v>
      </c>
      <c r="C58" s="37">
        <v>3</v>
      </c>
      <c r="D58" s="37" t="s">
        <v>60</v>
      </c>
      <c r="E58" s="37"/>
      <c r="F58" s="44"/>
      <c r="G58" s="161"/>
      <c r="H58" s="44"/>
      <c r="I58" s="37"/>
      <c r="J58" s="37"/>
      <c r="K58" s="37"/>
      <c r="L58" s="37"/>
      <c r="M58" s="37"/>
      <c r="N58" s="37"/>
      <c r="O58" s="160"/>
      <c r="P58" s="109" t="str">
        <f t="shared" si="31"/>
        <v/>
      </c>
      <c r="Q58" s="109" t="str">
        <f t="shared" si="31"/>
        <v/>
      </c>
      <c r="R58" s="109" t="str">
        <f t="shared" si="32"/>
        <v/>
      </c>
      <c r="S58" s="109" t="str">
        <f t="shared" si="33"/>
        <v/>
      </c>
      <c r="T58" s="109" t="str">
        <f t="shared" si="34"/>
        <v/>
      </c>
      <c r="U58" s="109" t="str">
        <f t="shared" si="35"/>
        <v/>
      </c>
      <c r="V58" s="109" t="str">
        <f t="shared" si="36"/>
        <v/>
      </c>
      <c r="W58" s="109" t="str">
        <f t="shared" si="37"/>
        <v/>
      </c>
      <c r="X58" s="109" t="str">
        <f t="shared" si="38"/>
        <v/>
      </c>
      <c r="Y58" s="109" t="str">
        <f t="shared" si="39"/>
        <v/>
      </c>
      <c r="Z58" s="109" t="str">
        <f t="shared" si="40"/>
        <v/>
      </c>
      <c r="AA58" s="109" t="str">
        <f t="shared" si="41"/>
        <v/>
      </c>
      <c r="AB58" s="109" t="str">
        <f t="shared" si="42"/>
        <v/>
      </c>
      <c r="AC58" s="109" t="str">
        <f>IF(P58="","",_xlfn.RANK.EQ(P58,P$44:P$88,1)+COUNTIF(P$44:P58,P58)-1)</f>
        <v/>
      </c>
      <c r="AD58" s="109" t="str">
        <f>IF(Q58="","",_xlfn.RANK.EQ(Q58,Q$44:Q$88,1)+COUNTIF(Q$44:Q58,Q58)-1)</f>
        <v/>
      </c>
      <c r="AE58" s="138" t="str">
        <f>IF(R58="","",_xlfn.RANK.EQ(R58,R$44:R$88,1)+COUNTIF(R$44:R100,R58)-1)</f>
        <v/>
      </c>
      <c r="AF58" s="109" t="str">
        <f>IF(S58="","",_xlfn.RANK.EQ(S58,S$44:S$88,1)+COUNTIF(S$44:S58,S58)-1)</f>
        <v/>
      </c>
      <c r="AG58" s="109" t="str">
        <f>IF(T58="","",_xlfn.RANK.EQ(T58,T$44:T$88,1)+COUNTIF(T$44:T58,T58)-1)</f>
        <v/>
      </c>
      <c r="AH58" s="109" t="str">
        <f>IF(U58="","",_xlfn.RANK.EQ(U58,U$44:U$88,1)+COUNTIF(U$44:U58,U58)-1)</f>
        <v/>
      </c>
      <c r="AI58" s="109" t="str">
        <f>IF(V58="","",_xlfn.RANK.EQ(V58,V$44:V$88,1)+COUNTIF(V$44:V58,V58)-1)</f>
        <v/>
      </c>
      <c r="AJ58" s="109" t="str">
        <f>IF(W58="","",_xlfn.RANK.EQ(W58,W$44:W$88,1)+COUNTIF(W$44:W58,W58)-1)</f>
        <v/>
      </c>
      <c r="AK58" s="109" t="str">
        <f>IF(X58="","",_xlfn.RANK.EQ(X58,X$44:X$88,1)+COUNTIF(X$44:X58,X58)-1)</f>
        <v/>
      </c>
      <c r="AL58" s="109" t="str">
        <f>IF(Y58="","",_xlfn.RANK.EQ(Y58,Y$44:Y$88,1)+COUNTIF(Y$44:Y58,Y58)-1)</f>
        <v/>
      </c>
      <c r="AM58" s="109" t="str">
        <f>IF(Z58="","",_xlfn.RANK.EQ(Z58,Z$44:Z$88,1)+COUNTIF(Z$44:Z58,Z58)-1)</f>
        <v/>
      </c>
      <c r="AN58" s="109" t="str">
        <f>IF(AA58="","",_xlfn.RANK.EQ(AA58,AA$44:AA$88,1)+COUNTIF(AA$44:AA58,AA58)-1)</f>
        <v/>
      </c>
      <c r="AO58" s="109" t="str">
        <f>IF(AB58="","",_xlfn.RANK.EQ(AB58,AB$44:AB$88,1)+COUNTIF(AB$44:AB58,AB58)-1)</f>
        <v/>
      </c>
    </row>
    <row r="59" spans="2:41" ht="12.75" customHeight="1">
      <c r="B59" s="36" t="s">
        <v>28</v>
      </c>
      <c r="C59" s="37">
        <v>17</v>
      </c>
      <c r="D59" s="37" t="s">
        <v>19</v>
      </c>
      <c r="E59" s="37">
        <v>10</v>
      </c>
      <c r="F59" s="44">
        <v>10</v>
      </c>
      <c r="G59" s="161" t="s">
        <v>161</v>
      </c>
      <c r="H59" s="44" t="s">
        <v>52</v>
      </c>
      <c r="I59" s="37" t="s">
        <v>63</v>
      </c>
      <c r="J59" s="37"/>
      <c r="K59" s="37"/>
      <c r="L59" s="37"/>
      <c r="M59" s="37"/>
      <c r="N59" s="37"/>
      <c r="O59" s="160"/>
      <c r="P59" s="109" t="str">
        <f t="shared" si="31"/>
        <v/>
      </c>
      <c r="Q59" s="109" t="str">
        <f t="shared" si="31"/>
        <v/>
      </c>
      <c r="R59" s="109" t="str">
        <f t="shared" si="32"/>
        <v/>
      </c>
      <c r="S59" s="109" t="str">
        <f t="shared" si="33"/>
        <v/>
      </c>
      <c r="T59" s="109" t="str">
        <f t="shared" si="34"/>
        <v/>
      </c>
      <c r="U59" s="109" t="str">
        <f t="shared" si="35"/>
        <v/>
      </c>
      <c r="V59" s="109" t="str">
        <f t="shared" si="36"/>
        <v/>
      </c>
      <c r="W59" s="109" t="str">
        <f t="shared" si="37"/>
        <v/>
      </c>
      <c r="X59" s="109" t="str">
        <f t="shared" si="38"/>
        <v/>
      </c>
      <c r="Y59" s="109" t="str">
        <f t="shared" si="39"/>
        <v/>
      </c>
      <c r="Z59" s="109" t="str">
        <f t="shared" si="40"/>
        <v/>
      </c>
      <c r="AA59" s="109" t="str">
        <f t="shared" si="41"/>
        <v/>
      </c>
      <c r="AB59" s="109" t="str">
        <f t="shared" si="42"/>
        <v/>
      </c>
      <c r="AC59" s="109" t="str">
        <f>IF(P59="","",_xlfn.RANK.EQ(P59,P$44:P$88,1)+COUNTIF(P$44:P59,P59)-1)</f>
        <v/>
      </c>
      <c r="AD59" s="109" t="str">
        <f>IF(Q59="","",_xlfn.RANK.EQ(Q59,Q$44:Q$88,1)+COUNTIF(Q$44:Q59,Q59)-1)</f>
        <v/>
      </c>
      <c r="AE59" s="138" t="str">
        <f>IF(R59="","",_xlfn.RANK.EQ(R59,R$44:R$88,1)+COUNTIF(R$44:R97,R59)-1)</f>
        <v/>
      </c>
      <c r="AF59" s="109" t="str">
        <f>IF(S59="","",_xlfn.RANK.EQ(S59,S$44:S$88,1)+COUNTIF(S$44:S59,S59)-1)</f>
        <v/>
      </c>
      <c r="AG59" s="109" t="str">
        <f>IF(T59="","",_xlfn.RANK.EQ(T59,T$44:T$88,1)+COUNTIF(T$44:T59,T59)-1)</f>
        <v/>
      </c>
      <c r="AH59" s="109" t="str">
        <f>IF(U59="","",_xlfn.RANK.EQ(U59,U$44:U$88,1)+COUNTIF(U$44:U59,U59)-1)</f>
        <v/>
      </c>
      <c r="AI59" s="109" t="str">
        <f>IF(V59="","",_xlfn.RANK.EQ(V59,V$44:V$88,1)+COUNTIF(V$44:V59,V59)-1)</f>
        <v/>
      </c>
      <c r="AJ59" s="109" t="str">
        <f>IF(W59="","",_xlfn.RANK.EQ(W59,W$44:W$88,1)+COUNTIF(W$44:W59,W59)-1)</f>
        <v/>
      </c>
      <c r="AK59" s="109" t="str">
        <f>IF(X59="","",_xlfn.RANK.EQ(X59,X$44:X$88,1)+COUNTIF(X$44:X59,X59)-1)</f>
        <v/>
      </c>
      <c r="AL59" s="109" t="str">
        <f>IF(Y59="","",_xlfn.RANK.EQ(Y59,Y$44:Y$88,1)+COUNTIF(Y$44:Y59,Y59)-1)</f>
        <v/>
      </c>
      <c r="AM59" s="109" t="str">
        <f>IF(Z59="","",_xlfn.RANK.EQ(Z59,Z$44:Z$88,1)+COUNTIF(Z$44:Z59,Z59)-1)</f>
        <v/>
      </c>
      <c r="AN59" s="109" t="str">
        <f>IF(AA59="","",_xlfn.RANK.EQ(AA59,AA$44:AA$88,1)+COUNTIF(AA$44:AA59,AA59)-1)</f>
        <v/>
      </c>
      <c r="AO59" s="109" t="str">
        <f>IF(AB59="","",_xlfn.RANK.EQ(AB59,AB$44:AB$88,1)+COUNTIF(AB$44:AB59,AB59)-1)</f>
        <v/>
      </c>
    </row>
    <row r="60" spans="2:41" ht="12.75" customHeight="1">
      <c r="B60" s="36" t="s">
        <v>28</v>
      </c>
      <c r="C60" s="37">
        <v>17</v>
      </c>
      <c r="D60" s="37" t="s">
        <v>19</v>
      </c>
      <c r="E60" s="37">
        <v>10</v>
      </c>
      <c r="F60" s="44">
        <v>7</v>
      </c>
      <c r="G60" s="161" t="s">
        <v>189</v>
      </c>
      <c r="H60" s="44" t="s">
        <v>52</v>
      </c>
      <c r="I60" s="37" t="s">
        <v>63</v>
      </c>
      <c r="J60" s="37" t="s">
        <v>43</v>
      </c>
      <c r="K60" s="37" t="s">
        <v>43</v>
      </c>
      <c r="L60" s="37" t="s">
        <v>43</v>
      </c>
      <c r="M60" s="37" t="s">
        <v>43</v>
      </c>
      <c r="N60" s="37" t="s">
        <v>43</v>
      </c>
      <c r="O60" s="160"/>
      <c r="P60" s="109" t="str">
        <f>IF($I60=P$3,IF($F60&gt;14,$F60/100,$F60),"")</f>
        <v/>
      </c>
      <c r="Q60" s="109" t="str">
        <f>IF($I60=Q$3,IF($F60&gt;14,$F60/100,$F60),"")</f>
        <v/>
      </c>
      <c r="R60" s="109" t="str">
        <f>IF($I60=R$3,$F60,"")</f>
        <v/>
      </c>
      <c r="S60" s="109" t="str">
        <f>IF(J60="AM",IF($F60&gt;14,$F60/100,$F60),"")</f>
        <v/>
      </c>
      <c r="T60" s="109" t="str">
        <f>IF(K60="AM",IF($F60&gt;14,$F60/100,$F60),"")</f>
        <v/>
      </c>
      <c r="U60" s="109" t="str">
        <f>IF(L60="AM",IF($F60&gt;14,$F60/100,$F60),"")</f>
        <v/>
      </c>
      <c r="V60" s="109" t="str">
        <f>IF(M60="AM",IF($F60&gt;14,$F60/100,$F60),"")</f>
        <v/>
      </c>
      <c r="W60" s="109" t="str">
        <f>IF(N60="AM",IF($F60&gt;14,$F60/100,$F60),"")</f>
        <v/>
      </c>
      <c r="X60" s="109" t="str">
        <f>IF(J60="PM",IF($F60&gt;14,$F60/100,$F60),"")</f>
        <v/>
      </c>
      <c r="Y60" s="109" t="str">
        <f>IF(K60="PM",IF($F60&gt;14,$F60/100,$F60),"")</f>
        <v/>
      </c>
      <c r="Z60" s="109" t="str">
        <f>IF(L60="PM",IF($F60&gt;14,$F60/100,$F60),"")</f>
        <v/>
      </c>
      <c r="AA60" s="109" t="str">
        <f>IF(M60="PM",IF($F60&gt;14,$F60/100,$F60),"")</f>
        <v/>
      </c>
      <c r="AB60" s="109" t="str">
        <f>IF(N60="PM",IF($F60&gt;14,$F60/100,$F60),"")</f>
        <v/>
      </c>
      <c r="AC60" s="109" t="str">
        <f>IF(P60="","",_xlfn.RANK.EQ(P60,P$44:P$88,1)+COUNTIF(P$44:P60,P60)-1)</f>
        <v/>
      </c>
      <c r="AD60" s="109" t="str">
        <f>IF(Q60="","",_xlfn.RANK.EQ(Q60,Q$44:Q$88,1)+COUNTIF(Q$44:Q60,Q60)-1)</f>
        <v/>
      </c>
      <c r="AE60" s="138" t="str">
        <f>IF(R60="","",_xlfn.RANK.EQ(R60,R$44:R$88,1)+COUNTIF(R$44:R102,R60)-1)</f>
        <v/>
      </c>
      <c r="AF60" s="109" t="str">
        <f>IF(S60="","",_xlfn.RANK.EQ(S60,S$44:S$88,1)+COUNTIF(S$44:S60,S60)-1)</f>
        <v/>
      </c>
      <c r="AG60" s="109" t="str">
        <f>IF(T60="","",_xlfn.RANK.EQ(T60,T$44:T$88,1)+COUNTIF(T$44:T60,T60)-1)</f>
        <v/>
      </c>
      <c r="AH60" s="109" t="str">
        <f>IF(U60="","",_xlfn.RANK.EQ(U60,U$44:U$88,1)+COUNTIF(U$44:U60,U60)-1)</f>
        <v/>
      </c>
      <c r="AI60" s="109" t="str">
        <f>IF(V60="","",_xlfn.RANK.EQ(V60,V$44:V$88,1)+COUNTIF(V$44:V60,V60)-1)</f>
        <v/>
      </c>
      <c r="AJ60" s="109" t="str">
        <f>IF(W60="","",_xlfn.RANK.EQ(W60,W$44:W$88,1)+COUNTIF(W$44:W60,W60)-1)</f>
        <v/>
      </c>
      <c r="AK60" s="109" t="str">
        <f>IF(X60="","",_xlfn.RANK.EQ(X60,X$44:X$88,1)+COUNTIF(X$44:X60,X60)-1)</f>
        <v/>
      </c>
      <c r="AL60" s="109" t="str">
        <f>IF(Y60="","",_xlfn.RANK.EQ(Y60,Y$44:Y$88,1)+COUNTIF(Y$44:Y60,Y60)-1)</f>
        <v/>
      </c>
      <c r="AM60" s="109" t="str">
        <f>IF(Z60="","",_xlfn.RANK.EQ(Z60,Z$44:Z$88,1)+COUNTIF(Z$44:Z60,Z60)-1)</f>
        <v/>
      </c>
      <c r="AN60" s="109" t="str">
        <f>IF(AA60="","",_xlfn.RANK.EQ(AA60,AA$44:AA$88,1)+COUNTIF(AA$44:AA60,AA60)-1)</f>
        <v/>
      </c>
      <c r="AO60" s="109" t="str">
        <f>IF(AB60="","",_xlfn.RANK.EQ(AB60,AB$44:AB$88,1)+COUNTIF(AB$44:AB60,AB60)-1)</f>
        <v/>
      </c>
    </row>
    <row r="61" spans="2:41" ht="12.75" customHeight="1">
      <c r="B61" s="36" t="s">
        <v>28</v>
      </c>
      <c r="C61" s="37">
        <v>9</v>
      </c>
      <c r="D61" s="37" t="s">
        <v>19</v>
      </c>
      <c r="E61" s="37">
        <v>7</v>
      </c>
      <c r="F61" s="44">
        <v>7</v>
      </c>
      <c r="G61" s="161" t="s">
        <v>138</v>
      </c>
      <c r="H61" s="37" t="s">
        <v>180</v>
      </c>
      <c r="I61" s="37" t="s">
        <v>57</v>
      </c>
      <c r="J61" s="37" t="s">
        <v>43</v>
      </c>
      <c r="K61" s="37" t="s">
        <v>43</v>
      </c>
      <c r="L61" s="37" t="s">
        <v>43</v>
      </c>
      <c r="M61" s="37" t="s">
        <v>43</v>
      </c>
      <c r="N61" s="37" t="s">
        <v>43</v>
      </c>
      <c r="O61" s="160"/>
      <c r="P61" s="109">
        <f t="shared" si="31"/>
        <v>7</v>
      </c>
      <c r="Q61" s="109" t="str">
        <f t="shared" si="31"/>
        <v/>
      </c>
      <c r="R61" s="109" t="str">
        <f t="shared" si="32"/>
        <v/>
      </c>
      <c r="S61" s="109" t="str">
        <f t="shared" si="33"/>
        <v/>
      </c>
      <c r="T61" s="109" t="str">
        <f t="shared" si="34"/>
        <v/>
      </c>
      <c r="U61" s="109" t="str">
        <f t="shared" si="35"/>
        <v/>
      </c>
      <c r="V61" s="109" t="str">
        <f t="shared" si="36"/>
        <v/>
      </c>
      <c r="W61" s="109" t="str">
        <f t="shared" si="37"/>
        <v/>
      </c>
      <c r="X61" s="109" t="str">
        <f t="shared" si="38"/>
        <v/>
      </c>
      <c r="Y61" s="109" t="str">
        <f t="shared" si="39"/>
        <v/>
      </c>
      <c r="Z61" s="109" t="str">
        <f t="shared" si="40"/>
        <v/>
      </c>
      <c r="AA61" s="109" t="str">
        <f t="shared" si="41"/>
        <v/>
      </c>
      <c r="AB61" s="109" t="str">
        <f t="shared" si="42"/>
        <v/>
      </c>
      <c r="AC61" s="139">
        <f>IF(P61="","",_xlfn.RANK.EQ(P61,P$44:P$87,1)+COUNTIF(P$44:P61,P61)-1)</f>
        <v>6</v>
      </c>
      <c r="AD61" s="139" t="str">
        <f>IF(Q61="","",_xlfn.RANK.EQ(Q61,Q$44:Q$87,1)+COUNTIF(Q$44:Q61,Q61)-1)</f>
        <v/>
      </c>
      <c r="AE61" s="139" t="str">
        <f>IF(R61="","",_xlfn.RANK.EQ(R61,R$44:R$87,1)+COUNTIF(R$44:R101,R61)-1)</f>
        <v/>
      </c>
      <c r="AF61" s="139" t="str">
        <f>IF(S61="","",_xlfn.RANK.EQ(S61,S$44:S$87,1)+COUNTIF(S$44:S61,S61)-1)</f>
        <v/>
      </c>
      <c r="AG61" s="139" t="str">
        <f>IF(T61="","",_xlfn.RANK.EQ(T61,T$44:T$87,1)+COUNTIF(T$44:T61,T61)-1)</f>
        <v/>
      </c>
      <c r="AH61" s="139" t="str">
        <f>IF(U61="","",_xlfn.RANK.EQ(U61,U$44:U$87,1)+COUNTIF(U$44:U61,U61)-1)</f>
        <v/>
      </c>
      <c r="AI61" s="139" t="str">
        <f>IF(V61="","",_xlfn.RANK.EQ(V61,V$44:V$87,1)+COUNTIF(V$44:V61,V61)-1)</f>
        <v/>
      </c>
      <c r="AJ61" s="139" t="str">
        <f>IF(W61="","",_xlfn.RANK.EQ(W61,W$44:W$87,1)+COUNTIF(W$44:W61,W61)-1)</f>
        <v/>
      </c>
      <c r="AK61" s="139" t="str">
        <f>IF(X61="","",_xlfn.RANK.EQ(X61,X$44:X$87,1)+COUNTIF(X$44:X61,X61)-1)</f>
        <v/>
      </c>
      <c r="AL61" s="139" t="str">
        <f>IF(Y61="","",_xlfn.RANK.EQ(Y61,Y$44:Y$87,1)+COUNTIF(Y$44:Y61,Y61)-1)</f>
        <v/>
      </c>
      <c r="AM61" s="139" t="str">
        <f>IF(Z61="","",_xlfn.RANK.EQ(Z61,Z$44:Z$87,1)+COUNTIF(Z$44:Z61,Z61)-1)</f>
        <v/>
      </c>
      <c r="AN61" s="139" t="str">
        <f>IF(AA61="","",_xlfn.RANK.EQ(AA61,AA$44:AA$87,1)+COUNTIF(AA$44:AA61,AA61)-1)</f>
        <v/>
      </c>
      <c r="AO61" s="139" t="str">
        <f>IF(AB61="","",_xlfn.RANK.EQ(AB61,AB$44:AB$87,1)+COUNTIF(AB$44:AB61,AB61)-1)</f>
        <v/>
      </c>
    </row>
    <row r="62" spans="2:41" ht="12.75" customHeight="1">
      <c r="B62" s="36" t="s">
        <v>28</v>
      </c>
      <c r="C62" s="37">
        <v>9</v>
      </c>
      <c r="D62" s="37" t="s">
        <v>19</v>
      </c>
      <c r="E62" s="37">
        <v>7</v>
      </c>
      <c r="F62" s="44">
        <v>7</v>
      </c>
      <c r="G62" s="161" t="s">
        <v>139</v>
      </c>
      <c r="H62" s="44" t="s">
        <v>67</v>
      </c>
      <c r="I62" s="37" t="s">
        <v>63</v>
      </c>
      <c r="J62" s="37" t="s">
        <v>8</v>
      </c>
      <c r="K62" s="37" t="s">
        <v>8</v>
      </c>
      <c r="L62" s="37" t="s">
        <v>8</v>
      </c>
      <c r="M62" s="37" t="s">
        <v>8</v>
      </c>
      <c r="N62" s="37" t="s">
        <v>8</v>
      </c>
      <c r="O62" s="160"/>
      <c r="P62" s="109" t="str">
        <f t="shared" si="31"/>
        <v/>
      </c>
      <c r="Q62" s="109" t="str">
        <f t="shared" si="31"/>
        <v/>
      </c>
      <c r="R62" s="109" t="str">
        <f t="shared" si="32"/>
        <v/>
      </c>
      <c r="S62" s="109" t="str">
        <f t="shared" si="33"/>
        <v/>
      </c>
      <c r="T62" s="109" t="str">
        <f t="shared" si="34"/>
        <v/>
      </c>
      <c r="U62" s="109" t="str">
        <f t="shared" si="35"/>
        <v/>
      </c>
      <c r="V62" s="109" t="str">
        <f t="shared" si="36"/>
        <v/>
      </c>
      <c r="W62" s="109" t="str">
        <f t="shared" si="37"/>
        <v/>
      </c>
      <c r="X62" s="109">
        <f t="shared" si="38"/>
        <v>7</v>
      </c>
      <c r="Y62" s="109">
        <f t="shared" si="39"/>
        <v>7</v>
      </c>
      <c r="Z62" s="109">
        <f t="shared" si="40"/>
        <v>7</v>
      </c>
      <c r="AA62" s="109">
        <f t="shared" si="41"/>
        <v>7</v>
      </c>
      <c r="AB62" s="109">
        <f t="shared" si="42"/>
        <v>7</v>
      </c>
      <c r="AC62" s="109" t="str">
        <f>IF(P62="","",_xlfn.RANK.EQ(P62,P$44:P$87,1)+COUNTIF(P$44:P62,P62)-1)</f>
        <v/>
      </c>
      <c r="AD62" s="109" t="str">
        <f>IF(Q62="","",_xlfn.RANK.EQ(Q62,Q$44:Q$87,1)+COUNTIF(Q$44:Q62,Q62)-1)</f>
        <v/>
      </c>
      <c r="AE62" s="138" t="str">
        <f>IF(R62="","",_xlfn.RANK.EQ(R62,R$44:R$87,1)+COUNTIF(R$44:R101,R62)-1)</f>
        <v/>
      </c>
      <c r="AF62" s="109" t="str">
        <f>IF(S62="","",_xlfn.RANK.EQ(S62,S$44:S$87,1)+COUNTIF(S$44:S62,S62)-1)</f>
        <v/>
      </c>
      <c r="AG62" s="109" t="str">
        <f>IF(T62="","",_xlfn.RANK.EQ(T62,T$44:T$87,1)+COUNTIF(T$44:T62,T62)-1)</f>
        <v/>
      </c>
      <c r="AH62" s="109" t="str">
        <f>IF(U62="","",_xlfn.RANK.EQ(U62,U$44:U$87,1)+COUNTIF(U$44:U62,U62)-1)</f>
        <v/>
      </c>
      <c r="AI62" s="109" t="str">
        <f>IF(V62="","",_xlfn.RANK.EQ(V62,V$44:V$87,1)+COUNTIF(V$44:V62,V62)-1)</f>
        <v/>
      </c>
      <c r="AJ62" s="109" t="str">
        <f>IF(W62="","",_xlfn.RANK.EQ(W62,W$44:W$87,1)+COUNTIF(W$44:W62,W62)-1)</f>
        <v/>
      </c>
      <c r="AK62" s="109">
        <f>IF(X62="","",_xlfn.RANK.EQ(X62,X$44:X$87,1)+COUNTIF(X$44:X62,X62)-1)</f>
        <v>12</v>
      </c>
      <c r="AL62" s="109">
        <f>IF(Y62="","",_xlfn.RANK.EQ(Y62,Y$44:Y$87,1)+COUNTIF(Y$44:Y62,Y62)-1)</f>
        <v>12</v>
      </c>
      <c r="AM62" s="109">
        <f>IF(Z62="","",_xlfn.RANK.EQ(Z62,Z$44:Z$87,1)+COUNTIF(Z$44:Z62,Z62)-1)</f>
        <v>12</v>
      </c>
      <c r="AN62" s="109">
        <f>IF(AA62="","",_xlfn.RANK.EQ(AA62,AA$44:AA$87,1)+COUNTIF(AA$44:AA62,AA62)-1)</f>
        <v>12</v>
      </c>
      <c r="AO62" s="109">
        <f>IF(AB62="","",_xlfn.RANK.EQ(AB62,AB$44:AB$87,1)+COUNTIF(AB$44:AB62,AB62)-1)</f>
        <v>12</v>
      </c>
    </row>
    <row r="63" spans="2:41" ht="12.75" customHeight="1">
      <c r="B63" s="36" t="s">
        <v>28</v>
      </c>
      <c r="C63" s="37">
        <v>18</v>
      </c>
      <c r="D63" s="37" t="s">
        <v>19</v>
      </c>
      <c r="E63" s="37">
        <v>7</v>
      </c>
      <c r="F63" s="44">
        <v>7</v>
      </c>
      <c r="G63" s="43" t="s">
        <v>178</v>
      </c>
      <c r="H63" s="44" t="s">
        <v>52</v>
      </c>
      <c r="I63" s="37" t="s">
        <v>155</v>
      </c>
      <c r="J63" s="37" t="s">
        <v>8</v>
      </c>
      <c r="K63" s="37" t="s">
        <v>8</v>
      </c>
      <c r="L63" s="37" t="s">
        <v>8</v>
      </c>
      <c r="M63" s="37" t="s">
        <v>8</v>
      </c>
      <c r="N63" s="37" t="s">
        <v>8</v>
      </c>
      <c r="O63" s="160"/>
      <c r="P63" s="109" t="str">
        <f t="shared" si="31"/>
        <v/>
      </c>
      <c r="Q63" s="109" t="str">
        <f t="shared" si="31"/>
        <v/>
      </c>
      <c r="R63" s="109" t="str">
        <f t="shared" si="32"/>
        <v/>
      </c>
      <c r="S63" s="109" t="str">
        <f t="shared" si="33"/>
        <v/>
      </c>
      <c r="T63" s="109" t="str">
        <f t="shared" si="34"/>
        <v/>
      </c>
      <c r="U63" s="109" t="str">
        <f t="shared" si="35"/>
        <v/>
      </c>
      <c r="V63" s="109" t="str">
        <f t="shared" si="36"/>
        <v/>
      </c>
      <c r="W63" s="109" t="str">
        <f t="shared" si="37"/>
        <v/>
      </c>
      <c r="X63" s="109">
        <f t="shared" si="38"/>
        <v>7</v>
      </c>
      <c r="Y63" s="109">
        <f t="shared" si="39"/>
        <v>7</v>
      </c>
      <c r="Z63" s="109">
        <f t="shared" si="40"/>
        <v>7</v>
      </c>
      <c r="AA63" s="109">
        <f t="shared" si="41"/>
        <v>7</v>
      </c>
      <c r="AB63" s="109">
        <f t="shared" si="42"/>
        <v>7</v>
      </c>
      <c r="AC63" s="109" t="str">
        <f>IF(P63="","",_xlfn.RANK.EQ(P63,P$44:P$88,1)+COUNTIF(P$44:P63,P63)-1)</f>
        <v/>
      </c>
      <c r="AD63" s="109" t="str">
        <f>IF(Q63="","",_xlfn.RANK.EQ(Q63,Q$44:Q$88,1)+COUNTIF(Q$44:Q63,Q63)-1)</f>
        <v/>
      </c>
      <c r="AE63" s="138" t="str">
        <f>IF(R63="","",_xlfn.RANK.EQ(R63,R$44:R$88,1)+COUNTIF(R$44:R104,R63)-1)</f>
        <v/>
      </c>
      <c r="AF63" s="109" t="str">
        <f>IF(S63="","",_xlfn.RANK.EQ(S63,S$44:S$88,1)+COUNTIF(S$44:S63,S63)-1)</f>
        <v/>
      </c>
      <c r="AG63" s="109" t="str">
        <f>IF(T63="","",_xlfn.RANK.EQ(T63,T$44:T$88,1)+COUNTIF(T$44:T63,T63)-1)</f>
        <v/>
      </c>
      <c r="AH63" s="109" t="str">
        <f>IF(U63="","",_xlfn.RANK.EQ(U63,U$44:U$88,1)+COUNTIF(U$44:U63,U63)-1)</f>
        <v/>
      </c>
      <c r="AI63" s="109" t="str">
        <f>IF(V63="","",_xlfn.RANK.EQ(V63,V$44:V$88,1)+COUNTIF(V$44:V63,V63)-1)</f>
        <v/>
      </c>
      <c r="AJ63" s="109" t="str">
        <f>IF(W63="","",_xlfn.RANK.EQ(W63,W$44:W$88,1)+COUNTIF(W$44:W63,W63)-1)</f>
        <v/>
      </c>
      <c r="AK63" s="109">
        <f>IF(X63="","",_xlfn.RANK.EQ(X63,X$44:X$88,1)+COUNTIF(X$44:X63,X63)-1)</f>
        <v>13</v>
      </c>
      <c r="AL63" s="109">
        <f>IF(Y63="","",_xlfn.RANK.EQ(Y63,Y$44:Y$88,1)+COUNTIF(Y$44:Y63,Y63)-1)</f>
        <v>13</v>
      </c>
      <c r="AM63" s="109">
        <f>IF(Z63="","",_xlfn.RANK.EQ(Z63,Z$44:Z$88,1)+COUNTIF(Z$44:Z63,Z63)-1)</f>
        <v>13</v>
      </c>
      <c r="AN63" s="109">
        <f>IF(AA63="","",_xlfn.RANK.EQ(AA63,AA$44:AA$88,1)+COUNTIF(AA$44:AA63,AA63)-1)</f>
        <v>13</v>
      </c>
      <c r="AO63" s="109">
        <f>IF(AB63="","",_xlfn.RANK.EQ(AB63,AB$44:AB$88,1)+COUNTIF(AB$44:AB63,AB63)-1)</f>
        <v>13</v>
      </c>
    </row>
    <row r="64" spans="2:41" ht="12.75" customHeight="1">
      <c r="B64" s="36" t="s">
        <v>28</v>
      </c>
      <c r="C64" s="37">
        <v>2</v>
      </c>
      <c r="D64" s="37" t="s">
        <v>163</v>
      </c>
      <c r="E64" s="37">
        <v>23</v>
      </c>
      <c r="F64" s="44">
        <v>23</v>
      </c>
      <c r="G64" s="161" t="s">
        <v>149</v>
      </c>
      <c r="H64" s="44" t="s">
        <v>52</v>
      </c>
      <c r="I64" s="37" t="s">
        <v>63</v>
      </c>
      <c r="J64" s="37" t="s">
        <v>8</v>
      </c>
      <c r="K64" s="37" t="s">
        <v>8</v>
      </c>
      <c r="L64" s="37" t="s">
        <v>8</v>
      </c>
      <c r="M64" s="37" t="s">
        <v>8</v>
      </c>
      <c r="N64" s="37" t="s">
        <v>8</v>
      </c>
      <c r="O64" s="160"/>
      <c r="P64" s="109" t="str">
        <f t="shared" si="31"/>
        <v/>
      </c>
      <c r="Q64" s="109" t="str">
        <f t="shared" si="31"/>
        <v/>
      </c>
      <c r="R64" s="109" t="str">
        <f t="shared" si="32"/>
        <v/>
      </c>
      <c r="S64" s="109" t="str">
        <f t="shared" si="33"/>
        <v/>
      </c>
      <c r="T64" s="109" t="str">
        <f t="shared" si="34"/>
        <v/>
      </c>
      <c r="U64" s="109" t="str">
        <f t="shared" si="35"/>
        <v/>
      </c>
      <c r="V64" s="109" t="str">
        <f t="shared" si="36"/>
        <v/>
      </c>
      <c r="W64" s="109" t="str">
        <f t="shared" si="37"/>
        <v/>
      </c>
      <c r="X64" s="109">
        <f t="shared" si="38"/>
        <v>0.23</v>
      </c>
      <c r="Y64" s="109">
        <f t="shared" si="39"/>
        <v>0.23</v>
      </c>
      <c r="Z64" s="109">
        <f t="shared" si="40"/>
        <v>0.23</v>
      </c>
      <c r="AA64" s="109">
        <f t="shared" si="41"/>
        <v>0.23</v>
      </c>
      <c r="AB64" s="109">
        <f t="shared" si="42"/>
        <v>0.23</v>
      </c>
      <c r="AC64" s="109" t="str">
        <f>IF(P64="","",_xlfn.RANK.EQ(P64,P$44:P$88,1)+COUNTIF(P$44:P64,P64)-1)</f>
        <v/>
      </c>
      <c r="AD64" s="109" t="str">
        <f>IF(Q64="","",_xlfn.RANK.EQ(Q64,Q$44:Q$88,1)+COUNTIF(Q$44:Q64,Q64)-1)</f>
        <v/>
      </c>
      <c r="AE64" s="109" t="str">
        <f>IF(R64="","",_xlfn.RANK.EQ(R64,R$44:R$88,1)+COUNTIF(R$44:R98,R64)-1)</f>
        <v/>
      </c>
      <c r="AF64" s="109" t="str">
        <f>IF(S64="","",_xlfn.RANK.EQ(S64,S$44:S$88,1)+COUNTIF(S$44:S64,S64)-1)</f>
        <v/>
      </c>
      <c r="AG64" s="109" t="str">
        <f>IF(T64="","",_xlfn.RANK.EQ(T64,T$44:T$88,1)+COUNTIF(T$44:T64,T64)-1)</f>
        <v/>
      </c>
      <c r="AH64" s="109" t="str">
        <f>IF(U64="","",_xlfn.RANK.EQ(U64,U$44:U$88,1)+COUNTIF(U$44:U64,U64)-1)</f>
        <v/>
      </c>
      <c r="AI64" s="109" t="str">
        <f>IF(V64="","",_xlfn.RANK.EQ(V64,V$44:V$88,1)+COUNTIF(V$44:V64,V64)-1)</f>
        <v/>
      </c>
      <c r="AJ64" s="109" t="str">
        <f>IF(W64="","",_xlfn.RANK.EQ(W64,W$44:W$88,1)+COUNTIF(W$44:W64,W64)-1)</f>
        <v/>
      </c>
      <c r="AK64" s="109">
        <f>IF(X64="","",_xlfn.RANK.EQ(X64,X$44:X$88,1)+COUNTIF(X$44:X64,X64)-1)</f>
        <v>2</v>
      </c>
      <c r="AL64" s="109">
        <f>IF(Y64="","",_xlfn.RANK.EQ(Y64,Y$44:Y$88,1)+COUNTIF(Y$44:Y64,Y64)-1)</f>
        <v>2</v>
      </c>
      <c r="AM64" s="109">
        <f>IF(Z64="","",_xlfn.RANK.EQ(Z64,Z$44:Z$88,1)+COUNTIF(Z$44:Z64,Z64)-1)</f>
        <v>2</v>
      </c>
      <c r="AN64" s="109">
        <f>IF(AA64="","",_xlfn.RANK.EQ(AA64,AA$44:AA$88,1)+COUNTIF(AA$44:AA64,AA64)-1)</f>
        <v>2</v>
      </c>
      <c r="AO64" s="109">
        <f>IF(AB64="","",_xlfn.RANK.EQ(AB64,AB$44:AB$88,1)+COUNTIF(AB$44:AB64,AB64)-1)</f>
        <v>2</v>
      </c>
    </row>
    <row r="65" spans="1:41" ht="12.75" customHeight="1">
      <c r="B65" s="36" t="s">
        <v>28</v>
      </c>
      <c r="C65" s="37">
        <v>2</v>
      </c>
      <c r="D65" s="37" t="s">
        <v>163</v>
      </c>
      <c r="E65" s="37">
        <v>23</v>
      </c>
      <c r="F65" s="44">
        <v>23</v>
      </c>
      <c r="G65" s="161" t="s">
        <v>172</v>
      </c>
      <c r="H65" s="44" t="s">
        <v>52</v>
      </c>
      <c r="I65" s="37" t="s">
        <v>63</v>
      </c>
      <c r="J65" s="37" t="s">
        <v>43</v>
      </c>
      <c r="K65" s="37" t="s">
        <v>43</v>
      </c>
      <c r="L65" s="37" t="s">
        <v>43</v>
      </c>
      <c r="M65" s="37" t="s">
        <v>43</v>
      </c>
      <c r="N65" s="37" t="s">
        <v>43</v>
      </c>
      <c r="O65" s="160"/>
      <c r="P65" s="109" t="str">
        <f t="shared" si="31"/>
        <v/>
      </c>
      <c r="Q65" s="109" t="str">
        <f t="shared" si="31"/>
        <v/>
      </c>
      <c r="R65" s="109" t="str">
        <f t="shared" si="32"/>
        <v/>
      </c>
      <c r="S65" s="109" t="str">
        <f t="shared" si="33"/>
        <v/>
      </c>
      <c r="T65" s="109" t="str">
        <f t="shared" si="34"/>
        <v/>
      </c>
      <c r="U65" s="109" t="str">
        <f t="shared" si="35"/>
        <v/>
      </c>
      <c r="V65" s="109" t="str">
        <f t="shared" si="36"/>
        <v/>
      </c>
      <c r="W65" s="109" t="str">
        <f t="shared" si="37"/>
        <v/>
      </c>
      <c r="X65" s="109" t="str">
        <f t="shared" si="38"/>
        <v/>
      </c>
      <c r="Y65" s="109" t="str">
        <f t="shared" si="39"/>
        <v/>
      </c>
      <c r="Z65" s="109" t="str">
        <f t="shared" si="40"/>
        <v/>
      </c>
      <c r="AA65" s="109" t="str">
        <f t="shared" si="41"/>
        <v/>
      </c>
      <c r="AB65" s="109" t="str">
        <f t="shared" si="42"/>
        <v/>
      </c>
      <c r="AC65" s="109" t="str">
        <f>IF(P65="","",_xlfn.RANK.EQ(P65,P$44:P$88,1)+COUNTIF(P$44:P65,P65)-1)</f>
        <v/>
      </c>
      <c r="AD65" s="109" t="str">
        <f>IF(Q65="","",_xlfn.RANK.EQ(Q65,Q$44:Q$88,1)+COUNTIF(Q$44:Q65,Q65)-1)</f>
        <v/>
      </c>
      <c r="AE65" s="109" t="str">
        <f>IF(R65="","",_xlfn.RANK.EQ(R65,R$44:R$88,1)+COUNTIF(R$44:R106,R65)-1)</f>
        <v/>
      </c>
      <c r="AF65" s="109" t="str">
        <f>IF(S65="","",_xlfn.RANK.EQ(S65,S$44:S$88,1)+COUNTIF(S$44:S65,S65)-1)</f>
        <v/>
      </c>
      <c r="AG65" s="109" t="str">
        <f>IF(T65="","",_xlfn.RANK.EQ(T65,T$44:T$88,1)+COUNTIF(T$44:T65,T65)-1)</f>
        <v/>
      </c>
      <c r="AH65" s="109" t="str">
        <f>IF(U65="","",_xlfn.RANK.EQ(U65,U$44:U$88,1)+COUNTIF(U$44:U65,U65)-1)</f>
        <v/>
      </c>
      <c r="AI65" s="109" t="str">
        <f>IF(V65="","",_xlfn.RANK.EQ(V65,V$44:V$88,1)+COUNTIF(V$44:V65,V65)-1)</f>
        <v/>
      </c>
      <c r="AJ65" s="109" t="str">
        <f>IF(W65="","",_xlfn.RANK.EQ(W65,W$44:W$88,1)+COUNTIF(W$44:W65,W65)-1)</f>
        <v/>
      </c>
      <c r="AK65" s="109" t="str">
        <f>IF(X65="","",_xlfn.RANK.EQ(X65,X$44:X$88,1)+COUNTIF(X$44:X65,X65)-1)</f>
        <v/>
      </c>
      <c r="AL65" s="109" t="str">
        <f>IF(Y65="","",_xlfn.RANK.EQ(Y65,Y$44:Y$88,1)+COUNTIF(Y$44:Y65,Y65)-1)</f>
        <v/>
      </c>
      <c r="AM65" s="109" t="str">
        <f>IF(Z65="","",_xlfn.RANK.EQ(Z65,Z$44:Z$88,1)+COUNTIF(Z$44:Z65,Z65)-1)</f>
        <v/>
      </c>
      <c r="AN65" s="109" t="str">
        <f>IF(AA65="","",_xlfn.RANK.EQ(AA65,AA$44:AA$88,1)+COUNTIF(AA$44:AA65,AA65)-1)</f>
        <v/>
      </c>
      <c r="AO65" s="109" t="str">
        <f>IF(AB65="","",_xlfn.RANK.EQ(AB65,AB$44:AB$88,1)+COUNTIF(AB$44:AB65,AB65)-1)</f>
        <v/>
      </c>
    </row>
    <row r="66" spans="1:41" ht="12.75" customHeight="1">
      <c r="B66" s="36" t="s">
        <v>28</v>
      </c>
      <c r="C66" s="37">
        <v>1</v>
      </c>
      <c r="D66" s="37" t="s">
        <v>188</v>
      </c>
      <c r="E66" s="37">
        <v>11</v>
      </c>
      <c r="F66" s="37">
        <v>11</v>
      </c>
      <c r="G66" s="162" t="s">
        <v>181</v>
      </c>
      <c r="H66" s="37" t="s">
        <v>52</v>
      </c>
      <c r="I66" s="37" t="s">
        <v>63</v>
      </c>
      <c r="J66" s="37" t="s">
        <v>7</v>
      </c>
      <c r="K66" s="37" t="s">
        <v>7</v>
      </c>
      <c r="L66" s="37" t="s">
        <v>7</v>
      </c>
      <c r="M66" s="37" t="s">
        <v>7</v>
      </c>
      <c r="N66" s="37" t="s">
        <v>7</v>
      </c>
      <c r="O66" s="160"/>
      <c r="P66" s="109" t="str">
        <f t="shared" si="31"/>
        <v/>
      </c>
      <c r="Q66" s="109" t="str">
        <f t="shared" si="31"/>
        <v/>
      </c>
      <c r="R66" s="109" t="str">
        <f t="shared" si="32"/>
        <v/>
      </c>
      <c r="S66" s="109" t="str">
        <f t="shared" si="33"/>
        <v/>
      </c>
      <c r="T66" s="109" t="str">
        <f t="shared" si="34"/>
        <v/>
      </c>
      <c r="U66" s="109" t="str">
        <f t="shared" si="35"/>
        <v/>
      </c>
      <c r="V66" s="109" t="str">
        <f t="shared" si="36"/>
        <v/>
      </c>
      <c r="W66" s="109" t="str">
        <f t="shared" si="37"/>
        <v/>
      </c>
      <c r="X66" s="109" t="str">
        <f t="shared" si="38"/>
        <v/>
      </c>
      <c r="Y66" s="109" t="str">
        <f t="shared" si="39"/>
        <v/>
      </c>
      <c r="Z66" s="109" t="str">
        <f t="shared" si="40"/>
        <v/>
      </c>
      <c r="AA66" s="109" t="str">
        <f t="shared" si="41"/>
        <v/>
      </c>
      <c r="AB66" s="109" t="str">
        <f t="shared" si="42"/>
        <v/>
      </c>
      <c r="AC66" s="109" t="str">
        <f>IF(P66="","",_xlfn.RANK.EQ(P66,P$44:P$88,1)+COUNTIF(P$44:P66,P66)-1)</f>
        <v/>
      </c>
      <c r="AD66" s="109" t="str">
        <f>IF(Q66="","",_xlfn.RANK.EQ(Q66,Q$44:Q$88,1)+COUNTIF(Q$44:Q66,Q66)-1)</f>
        <v/>
      </c>
      <c r="AE66" s="138" t="str">
        <f>IF(R66="","",_xlfn.RANK.EQ(R66,R$44:R$88,1)+COUNTIF(R$44:R106,R66)-1)</f>
        <v/>
      </c>
      <c r="AF66" s="109" t="str">
        <f>IF(S66="","",_xlfn.RANK.EQ(S66,S$44:S$88,1)+COUNTIF(S$44:S66,S66)-1)</f>
        <v/>
      </c>
      <c r="AG66" s="109" t="str">
        <f>IF(T66="","",_xlfn.RANK.EQ(T66,T$44:T$88,1)+COUNTIF(T$44:T66,T66)-1)</f>
        <v/>
      </c>
      <c r="AH66" s="109" t="str">
        <f>IF(U66="","",_xlfn.RANK.EQ(U66,U$44:U$88,1)+COUNTIF(U$44:U66,U66)-1)</f>
        <v/>
      </c>
      <c r="AI66" s="109" t="str">
        <f>IF(V66="","",_xlfn.RANK.EQ(V66,V$44:V$88,1)+COUNTIF(V$44:V66,V66)-1)</f>
        <v/>
      </c>
      <c r="AJ66" s="109" t="str">
        <f>IF(W66="","",_xlfn.RANK.EQ(W66,W$44:W$88,1)+COUNTIF(W$44:W66,W66)-1)</f>
        <v/>
      </c>
      <c r="AK66" s="109" t="str">
        <f>IF(X66="","",_xlfn.RANK.EQ(X66,X$44:X$88,1)+COUNTIF(X$44:X66,X66)-1)</f>
        <v/>
      </c>
      <c r="AL66" s="109" t="str">
        <f>IF(Y66="","",_xlfn.RANK.EQ(Y66,Y$44:Y$88,1)+COUNTIF(Y$44:Y66,Y66)-1)</f>
        <v/>
      </c>
      <c r="AM66" s="109" t="str">
        <f>IF(Z66="","",_xlfn.RANK.EQ(Z66,Z$44:Z$88,1)+COUNTIF(Z$44:Z66,Z66)-1)</f>
        <v/>
      </c>
      <c r="AN66" s="109" t="str">
        <f>IF(AA66="","",_xlfn.RANK.EQ(AA66,AA$44:AA$88,1)+COUNTIF(AA$44:AA66,AA66)-1)</f>
        <v/>
      </c>
      <c r="AO66" s="109" t="str">
        <f>IF(AB66="","",_xlfn.RANK.EQ(AB66,AB$44:AB$88,1)+COUNTIF(AB$44:AB66,AB66)-1)</f>
        <v/>
      </c>
    </row>
    <row r="67" spans="1:41" ht="12.75" customHeight="1">
      <c r="B67" s="36" t="s">
        <v>28</v>
      </c>
      <c r="C67" s="37">
        <v>1</v>
      </c>
      <c r="D67" s="37" t="s">
        <v>188</v>
      </c>
      <c r="E67" s="37">
        <v>11</v>
      </c>
      <c r="F67" s="37">
        <v>12</v>
      </c>
      <c r="G67" s="162" t="s">
        <v>200</v>
      </c>
      <c r="H67" s="37" t="s">
        <v>52</v>
      </c>
      <c r="I67" s="37" t="s">
        <v>63</v>
      </c>
      <c r="J67" s="37" t="s">
        <v>8</v>
      </c>
      <c r="K67" s="37" t="s">
        <v>8</v>
      </c>
      <c r="L67" s="37" t="s">
        <v>8</v>
      </c>
      <c r="M67" s="37" t="s">
        <v>8</v>
      </c>
      <c r="N67" s="37" t="s">
        <v>8</v>
      </c>
      <c r="O67" s="160"/>
      <c r="P67" s="109" t="str">
        <f t="shared" si="31"/>
        <v/>
      </c>
      <c r="Q67" s="109" t="str">
        <f t="shared" si="31"/>
        <v/>
      </c>
      <c r="R67" s="109" t="str">
        <f t="shared" si="32"/>
        <v/>
      </c>
      <c r="S67" s="109" t="str">
        <f t="shared" ref="S67" si="45">IF(J67="AM",IF($F67&gt;14,$F67/100,$F67),"")</f>
        <v/>
      </c>
      <c r="T67" s="109" t="str">
        <f t="shared" ref="T67" si="46">IF(K67="AM",IF($F67&gt;14,$F67/100,$F67),"")</f>
        <v/>
      </c>
      <c r="U67" s="109" t="str">
        <f t="shared" ref="U67" si="47">IF(L67="AM",IF($F67&gt;14,$F67/100,$F67),"")</f>
        <v/>
      </c>
      <c r="V67" s="109" t="str">
        <f t="shared" ref="V67" si="48">IF(M67="AM",IF($F67&gt;14,$F67/100,$F67),"")</f>
        <v/>
      </c>
      <c r="W67" s="109" t="str">
        <f t="shared" ref="W67" si="49">IF(N67="AM",IF($F67&gt;14,$F67/100,$F67),"")</f>
        <v/>
      </c>
      <c r="X67" s="109">
        <f t="shared" ref="X67" si="50">IF(J67="PM",IF($F67&gt;14,$F67/100,$F67),"")</f>
        <v>12</v>
      </c>
      <c r="Y67" s="109">
        <f t="shared" ref="Y67" si="51">IF(K67="PM",IF($F67&gt;14,$F67/100,$F67),"")</f>
        <v>12</v>
      </c>
      <c r="Z67" s="109">
        <f t="shared" ref="Z67" si="52">IF(L67="PM",IF($F67&gt;14,$F67/100,$F67),"")</f>
        <v>12</v>
      </c>
      <c r="AA67" s="109">
        <f t="shared" ref="AA67" si="53">IF(M67="PM",IF($F67&gt;14,$F67/100,$F67),"")</f>
        <v>12</v>
      </c>
      <c r="AB67" s="109">
        <f t="shared" ref="AB67" si="54">IF(N67="PM",IF($F67&gt;14,$F67/100,$F67),"")</f>
        <v>12</v>
      </c>
      <c r="AC67" s="109" t="str">
        <f>IF(P67="","",_xlfn.RANK.EQ(P67,P$44:P$88,1)+COUNTIF(P$44:P67,P67)-1)</f>
        <v/>
      </c>
      <c r="AD67" s="109" t="str">
        <f>IF(Q67="","",_xlfn.RANK.EQ(Q67,Q$44:Q$88,1)+COUNTIF(Q$44:Q67,Q67)-1)</f>
        <v/>
      </c>
      <c r="AE67" s="138" t="str">
        <f>IF(R67="","",_xlfn.RANK.EQ(R67,R$44:R$88,1)+COUNTIF(R$44:R107,R67)-1)</f>
        <v/>
      </c>
      <c r="AF67" s="109" t="str">
        <f>IF(S67="","",_xlfn.RANK.EQ(S67,S$44:S$88,1)+COUNTIF(S$44:S67,S67)-1)</f>
        <v/>
      </c>
      <c r="AG67" s="109" t="str">
        <f>IF(T67="","",_xlfn.RANK.EQ(T67,T$44:T$88,1)+COUNTIF(T$44:T67,T67)-1)</f>
        <v/>
      </c>
      <c r="AH67" s="109" t="str">
        <f>IF(U67="","",_xlfn.RANK.EQ(U67,U$44:U$88,1)+COUNTIF(U$44:U67,U67)-1)</f>
        <v/>
      </c>
      <c r="AI67" s="109" t="str">
        <f>IF(V67="","",_xlfn.RANK.EQ(V67,V$44:V$88,1)+COUNTIF(V$44:V67,V67)-1)</f>
        <v/>
      </c>
      <c r="AJ67" s="109" t="str">
        <f>IF(W67="","",_xlfn.RANK.EQ(W67,W$44:W$88,1)+COUNTIF(W$44:W67,W67)-1)</f>
        <v/>
      </c>
      <c r="AK67" s="109">
        <f>IF(X67="","",_xlfn.RANK.EQ(X67,X$44:X$88,1)+COUNTIF(X$44:X67,X67)-1)</f>
        <v>14</v>
      </c>
      <c r="AL67" s="109">
        <f>IF(Y67="","",_xlfn.RANK.EQ(Y67,Y$44:Y$88,1)+COUNTIF(Y$44:Y67,Y67)-1)</f>
        <v>14</v>
      </c>
      <c r="AM67" s="109">
        <f>IF(Z67="","",_xlfn.RANK.EQ(Z67,Z$44:Z$88,1)+COUNTIF(Z$44:Z67,Z67)-1)</f>
        <v>14</v>
      </c>
      <c r="AN67" s="109">
        <f>IF(AA67="","",_xlfn.RANK.EQ(AA67,AA$44:AA$88,1)+COUNTIF(AA$44:AA67,AA67)-1)</f>
        <v>14</v>
      </c>
      <c r="AO67" s="109">
        <f>IF(AB67="","",_xlfn.RANK.EQ(AB67,AB$44:AB$88,1)+COUNTIF(AB$44:AB67,AB67)-1)</f>
        <v>14</v>
      </c>
    </row>
    <row r="68" spans="1:41" ht="12.75" customHeight="1">
      <c r="B68" s="36" t="s">
        <v>28</v>
      </c>
      <c r="C68" s="37">
        <v>7</v>
      </c>
      <c r="D68" s="37" t="s">
        <v>188</v>
      </c>
      <c r="E68" s="37">
        <v>25</v>
      </c>
      <c r="F68" s="44">
        <v>25</v>
      </c>
      <c r="G68" s="161" t="s">
        <v>159</v>
      </c>
      <c r="H68" s="44" t="s">
        <v>52</v>
      </c>
      <c r="I68" s="37" t="s">
        <v>63</v>
      </c>
      <c r="J68" s="37" t="s">
        <v>43</v>
      </c>
      <c r="K68" s="37" t="s">
        <v>43</v>
      </c>
      <c r="L68" s="37" t="s">
        <v>43</v>
      </c>
      <c r="M68" s="37" t="s">
        <v>43</v>
      </c>
      <c r="N68" s="37" t="s">
        <v>43</v>
      </c>
      <c r="O68" s="160"/>
      <c r="P68" s="109" t="str">
        <f t="shared" ref="P68:Q87" si="55">IF($I68=P$3,IF($F68&gt;14,$F68/100,$F68),"")</f>
        <v/>
      </c>
      <c r="Q68" s="109" t="str">
        <f t="shared" si="55"/>
        <v/>
      </c>
      <c r="R68" s="109" t="str">
        <f t="shared" si="32"/>
        <v/>
      </c>
      <c r="S68" s="109" t="str">
        <f t="shared" si="33"/>
        <v/>
      </c>
      <c r="T68" s="109" t="str">
        <f t="shared" si="34"/>
        <v/>
      </c>
      <c r="U68" s="109" t="str">
        <f t="shared" si="35"/>
        <v/>
      </c>
      <c r="V68" s="109" t="str">
        <f t="shared" si="36"/>
        <v/>
      </c>
      <c r="W68" s="109" t="str">
        <f t="shared" si="37"/>
        <v/>
      </c>
      <c r="X68" s="109" t="str">
        <f t="shared" si="38"/>
        <v/>
      </c>
      <c r="Y68" s="109" t="str">
        <f t="shared" si="39"/>
        <v/>
      </c>
      <c r="Z68" s="109" t="str">
        <f t="shared" si="40"/>
        <v/>
      </c>
      <c r="AA68" s="109" t="str">
        <f t="shared" si="41"/>
        <v/>
      </c>
      <c r="AB68" s="109" t="str">
        <f t="shared" si="42"/>
        <v/>
      </c>
      <c r="AC68" s="109" t="str">
        <f>IF(P68="","",_xlfn.RANK.EQ(P68,P$44:P$88,1)+COUNTIF(P$44:P68,P68)-1)</f>
        <v/>
      </c>
      <c r="AD68" s="109" t="str">
        <f>IF(Q68="","",_xlfn.RANK.EQ(Q68,Q$44:Q$88,1)+COUNTIF(Q$44:Q68,Q68)-1)</f>
        <v/>
      </c>
      <c r="AE68" s="138" t="str">
        <f>IF(R68="","",_xlfn.RANK.EQ(R68,R$44:R$88,1)+COUNTIF(R$44:R106,R68)-1)</f>
        <v/>
      </c>
      <c r="AF68" s="109" t="str">
        <f>IF(S68="","",_xlfn.RANK.EQ(S68,S$44:S$88,1)+COUNTIF(S$44:S68,S68)-1)</f>
        <v/>
      </c>
      <c r="AG68" s="109" t="str">
        <f>IF(T68="","",_xlfn.RANK.EQ(T68,T$44:T$88,1)+COUNTIF(T$44:T68,T68)-1)</f>
        <v/>
      </c>
      <c r="AH68" s="109" t="str">
        <f>IF(U68="","",_xlfn.RANK.EQ(U68,U$44:U$88,1)+COUNTIF(U$44:U68,U68)-1)</f>
        <v/>
      </c>
      <c r="AI68" s="109" t="str">
        <f>IF(V68="","",_xlfn.RANK.EQ(V68,V$44:V$88,1)+COUNTIF(V$44:V68,V68)-1)</f>
        <v/>
      </c>
      <c r="AJ68" s="109" t="str">
        <f>IF(W68="","",_xlfn.RANK.EQ(W68,W$44:W$88,1)+COUNTIF(W$44:W68,W68)-1)</f>
        <v/>
      </c>
      <c r="AK68" s="109" t="str">
        <f>IF(X68="","",_xlfn.RANK.EQ(X68,X$44:X$88,1)+COUNTIF(X$44:X68,X68)-1)</f>
        <v/>
      </c>
      <c r="AL68" s="109" t="str">
        <f>IF(Y68="","",_xlfn.RANK.EQ(Y68,Y$44:Y$88,1)+COUNTIF(Y$44:Y68,Y68)-1)</f>
        <v/>
      </c>
      <c r="AM68" s="109" t="str">
        <f>IF(Z68="","",_xlfn.RANK.EQ(Z68,Z$44:Z$88,1)+COUNTIF(Z$44:Z68,Z68)-1)</f>
        <v/>
      </c>
      <c r="AN68" s="109" t="str">
        <f>IF(AA68="","",_xlfn.RANK.EQ(AA68,AA$44:AA$88,1)+COUNTIF(AA$44:AA68,AA68)-1)</f>
        <v/>
      </c>
      <c r="AO68" s="109" t="str">
        <f>IF(AB68="","",_xlfn.RANK.EQ(AB68,AB$44:AB$88,1)+COUNTIF(AB$44:AB68,AB68)-1)</f>
        <v/>
      </c>
    </row>
    <row r="69" spans="1:41" ht="12.75" customHeight="1">
      <c r="B69" s="36" t="s">
        <v>28</v>
      </c>
      <c r="C69" s="37">
        <v>7</v>
      </c>
      <c r="D69" s="37" t="s">
        <v>188</v>
      </c>
      <c r="E69" s="37">
        <v>25</v>
      </c>
      <c r="F69" s="44">
        <v>25</v>
      </c>
      <c r="G69" s="161" t="s">
        <v>159</v>
      </c>
      <c r="H69" s="44" t="s">
        <v>52</v>
      </c>
      <c r="I69" s="37" t="s">
        <v>63</v>
      </c>
      <c r="J69" s="37" t="s">
        <v>8</v>
      </c>
      <c r="K69" s="37" t="s">
        <v>8</v>
      </c>
      <c r="L69" s="37" t="s">
        <v>8</v>
      </c>
      <c r="M69" s="37" t="s">
        <v>8</v>
      </c>
      <c r="N69" s="37" t="s">
        <v>8</v>
      </c>
      <c r="O69" s="160"/>
      <c r="P69" s="109" t="str">
        <f t="shared" si="55"/>
        <v/>
      </c>
      <c r="Q69" s="109" t="str">
        <f t="shared" si="55"/>
        <v/>
      </c>
      <c r="R69" s="109" t="str">
        <f t="shared" si="32"/>
        <v/>
      </c>
      <c r="S69" s="109" t="str">
        <f t="shared" si="33"/>
        <v/>
      </c>
      <c r="T69" s="109" t="str">
        <f t="shared" si="34"/>
        <v/>
      </c>
      <c r="U69" s="109" t="str">
        <f t="shared" si="35"/>
        <v/>
      </c>
      <c r="V69" s="109" t="str">
        <f t="shared" si="36"/>
        <v/>
      </c>
      <c r="W69" s="109" t="str">
        <f t="shared" si="37"/>
        <v/>
      </c>
      <c r="X69" s="109">
        <f t="shared" si="38"/>
        <v>0.25</v>
      </c>
      <c r="Y69" s="109">
        <f t="shared" si="39"/>
        <v>0.25</v>
      </c>
      <c r="Z69" s="109">
        <f t="shared" si="40"/>
        <v>0.25</v>
      </c>
      <c r="AA69" s="109">
        <f t="shared" si="41"/>
        <v>0.25</v>
      </c>
      <c r="AB69" s="109">
        <f t="shared" si="42"/>
        <v>0.25</v>
      </c>
      <c r="AC69" s="109" t="str">
        <f>IF(P69="","",_xlfn.RANK.EQ(P69,P$44:P$88,1)+COUNTIF(P$44:P69,P69)-1)</f>
        <v/>
      </c>
      <c r="AD69" s="109" t="str">
        <f>IF(Q69="","",_xlfn.RANK.EQ(Q69,Q$44:Q$88,1)+COUNTIF(Q$44:Q69,Q69)-1)</f>
        <v/>
      </c>
      <c r="AE69" s="138" t="str">
        <f>IF(R69="","",_xlfn.RANK.EQ(R69,R$44:R$88,1)+COUNTIF(R$44:R109,R69)-1)</f>
        <v/>
      </c>
      <c r="AF69" s="109" t="str">
        <f>IF(S69="","",_xlfn.RANK.EQ(S69,S$44:S$88,1)+COUNTIF(S$44:S69,S69)-1)</f>
        <v/>
      </c>
      <c r="AG69" s="109" t="str">
        <f>IF(T69="","",_xlfn.RANK.EQ(T69,T$44:T$88,1)+COUNTIF(T$44:T69,T69)-1)</f>
        <v/>
      </c>
      <c r="AH69" s="109" t="str">
        <f>IF(U69="","",_xlfn.RANK.EQ(U69,U$44:U$88,1)+COUNTIF(U$44:U69,U69)-1)</f>
        <v/>
      </c>
      <c r="AI69" s="109" t="str">
        <f>IF(V69="","",_xlfn.RANK.EQ(V69,V$44:V$88,1)+COUNTIF(V$44:V69,V69)-1)</f>
        <v/>
      </c>
      <c r="AJ69" s="109" t="str">
        <f>IF(W69="","",_xlfn.RANK.EQ(W69,W$44:W$88,1)+COUNTIF(W$44:W69,W69)-1)</f>
        <v/>
      </c>
      <c r="AK69" s="109">
        <f>IF(X69="","",_xlfn.RANK.EQ(X69,X$44:X$88,1)+COUNTIF(X$44:X69,X69)-1)</f>
        <v>5</v>
      </c>
      <c r="AL69" s="109">
        <f>IF(Y69="","",_xlfn.RANK.EQ(Y69,Y$44:Y$88,1)+COUNTIF(Y$44:Y69,Y69)-1)</f>
        <v>5</v>
      </c>
      <c r="AM69" s="109">
        <f>IF(Z69="","",_xlfn.RANK.EQ(Z69,Z$44:Z$88,1)+COUNTIF(Z$44:Z69,Z69)-1)</f>
        <v>5</v>
      </c>
      <c r="AN69" s="109">
        <f>IF(AA69="","",_xlfn.RANK.EQ(AA69,AA$44:AA$88,1)+COUNTIF(AA$44:AA69,AA69)-1)</f>
        <v>5</v>
      </c>
      <c r="AO69" s="109">
        <f>IF(AB69="","",_xlfn.RANK.EQ(AB69,AB$44:AB$88,1)+COUNTIF(AB$44:AB69,AB69)-1)</f>
        <v>5</v>
      </c>
    </row>
    <row r="70" spans="1:41" ht="12.75" customHeight="1">
      <c r="A70" s="73"/>
      <c r="B70" s="36" t="s">
        <v>28</v>
      </c>
      <c r="C70" s="37">
        <v>5</v>
      </c>
      <c r="D70" s="37" t="s">
        <v>125</v>
      </c>
      <c r="E70" s="37">
        <v>6</v>
      </c>
      <c r="F70" s="163">
        <v>6</v>
      </c>
      <c r="G70" s="161" t="s">
        <v>143</v>
      </c>
      <c r="H70" s="44" t="s">
        <v>67</v>
      </c>
      <c r="I70" s="37" t="s">
        <v>57</v>
      </c>
      <c r="J70" s="37" t="s">
        <v>43</v>
      </c>
      <c r="K70" s="37" t="s">
        <v>43</v>
      </c>
      <c r="L70" s="37" t="s">
        <v>43</v>
      </c>
      <c r="M70" s="37" t="s">
        <v>43</v>
      </c>
      <c r="N70" s="37" t="s">
        <v>43</v>
      </c>
      <c r="O70" s="160" t="s">
        <v>154</v>
      </c>
      <c r="P70" s="109">
        <f t="shared" si="55"/>
        <v>6</v>
      </c>
      <c r="Q70" s="109" t="str">
        <f t="shared" si="55"/>
        <v/>
      </c>
      <c r="R70" s="109" t="str">
        <f t="shared" si="32"/>
        <v/>
      </c>
      <c r="S70" s="109" t="str">
        <f t="shared" si="33"/>
        <v/>
      </c>
      <c r="T70" s="109" t="str">
        <f t="shared" si="34"/>
        <v/>
      </c>
      <c r="U70" s="109" t="str">
        <f t="shared" si="35"/>
        <v/>
      </c>
      <c r="V70" s="109" t="str">
        <f t="shared" si="36"/>
        <v/>
      </c>
      <c r="W70" s="109" t="str">
        <f t="shared" si="37"/>
        <v/>
      </c>
      <c r="X70" s="109" t="str">
        <f t="shared" si="38"/>
        <v/>
      </c>
      <c r="Y70" s="109" t="str">
        <f t="shared" si="39"/>
        <v/>
      </c>
      <c r="Z70" s="109" t="str">
        <f t="shared" si="40"/>
        <v/>
      </c>
      <c r="AA70" s="109" t="str">
        <f t="shared" si="41"/>
        <v/>
      </c>
      <c r="AB70" s="109" t="str">
        <f t="shared" si="42"/>
        <v/>
      </c>
      <c r="AC70" s="109">
        <f>IF(P70="","",_xlfn.RANK.EQ(P70,P$44:P$88,1)+COUNTIF(P$44:P70,P70)-1)</f>
        <v>5</v>
      </c>
      <c r="AD70" s="109" t="str">
        <f>IF(Q70="","",_xlfn.RANK.EQ(Q70,Q$44:Q$88,1)+COUNTIF(Q$44:Q70,Q70)-1)</f>
        <v/>
      </c>
      <c r="AE70" s="109" t="str">
        <f>IF(R70="","",_xlfn.RANK.EQ(R70,R$44:R$88,1)+COUNTIF(R$44:R118,R70)-1)</f>
        <v/>
      </c>
      <c r="AF70" s="109" t="str">
        <f>IF(S70="","",_xlfn.RANK.EQ(S70,S$44:S$88,1)+COUNTIF(S$44:S70,S70)-1)</f>
        <v/>
      </c>
      <c r="AG70" s="109" t="str">
        <f>IF(T70="","",_xlfn.RANK.EQ(T70,T$44:T$88,1)+COUNTIF(T$44:T70,T70)-1)</f>
        <v/>
      </c>
      <c r="AH70" s="109" t="str">
        <f>IF(U70="","",_xlfn.RANK.EQ(U70,U$44:U$88,1)+COUNTIF(U$44:U70,U70)-1)</f>
        <v/>
      </c>
      <c r="AI70" s="109" t="str">
        <f>IF(V70="","",_xlfn.RANK.EQ(V70,V$44:V$88,1)+COUNTIF(V$44:V70,V70)-1)</f>
        <v/>
      </c>
      <c r="AJ70" s="109" t="str">
        <f>IF(W70="","",_xlfn.RANK.EQ(W70,W$44:W$88,1)+COUNTIF(W$44:W70,W70)-1)</f>
        <v/>
      </c>
      <c r="AK70" s="109" t="str">
        <f>IF(X70="","",_xlfn.RANK.EQ(X70,X$44:X$88,1)+COUNTIF(X$44:X70,X70)-1)</f>
        <v/>
      </c>
      <c r="AL70" s="109" t="str">
        <f>IF(Y70="","",_xlfn.RANK.EQ(Y70,Y$44:Y$88,1)+COUNTIF(Y$44:Y70,Y70)-1)</f>
        <v/>
      </c>
      <c r="AM70" s="109" t="str">
        <f>IF(Z70="","",_xlfn.RANK.EQ(Z70,Z$44:Z$88,1)+COUNTIF(Z$44:Z70,Z70)-1)</f>
        <v/>
      </c>
      <c r="AN70" s="109" t="str">
        <f>IF(AA70="","",_xlfn.RANK.EQ(AA70,AA$44:AA$88,1)+COUNTIF(AA$44:AA70,AA70)-1)</f>
        <v/>
      </c>
      <c r="AO70" s="109" t="str">
        <f>IF(AB70="","",_xlfn.RANK.EQ(AB70,AB$44:AB$88,1)+COUNTIF(AB$44:AB70,AB70)-1)</f>
        <v/>
      </c>
    </row>
    <row r="71" spans="1:41" ht="12.75" customHeight="1">
      <c r="A71" s="73"/>
      <c r="B71" s="36" t="s">
        <v>28</v>
      </c>
      <c r="C71" s="37">
        <v>5</v>
      </c>
      <c r="D71" s="37" t="s">
        <v>125</v>
      </c>
      <c r="E71" s="37">
        <v>6</v>
      </c>
      <c r="F71" s="163">
        <v>6</v>
      </c>
      <c r="G71" s="161" t="s">
        <v>144</v>
      </c>
      <c r="H71" s="44" t="s">
        <v>67</v>
      </c>
      <c r="I71" s="37" t="s">
        <v>63</v>
      </c>
      <c r="J71" s="37" t="s">
        <v>8</v>
      </c>
      <c r="K71" s="37" t="s">
        <v>8</v>
      </c>
      <c r="L71" s="37" t="s">
        <v>8</v>
      </c>
      <c r="M71" s="37" t="s">
        <v>8</v>
      </c>
      <c r="N71" s="37" t="s">
        <v>8</v>
      </c>
      <c r="O71" s="160"/>
      <c r="P71" s="109" t="str">
        <f t="shared" si="55"/>
        <v/>
      </c>
      <c r="Q71" s="109" t="str">
        <f t="shared" si="55"/>
        <v/>
      </c>
      <c r="R71" s="109" t="str">
        <f t="shared" si="32"/>
        <v/>
      </c>
      <c r="S71" s="109" t="str">
        <f t="shared" si="33"/>
        <v/>
      </c>
      <c r="T71" s="109" t="str">
        <f t="shared" si="34"/>
        <v/>
      </c>
      <c r="U71" s="109" t="str">
        <f t="shared" si="35"/>
        <v/>
      </c>
      <c r="V71" s="109" t="str">
        <f t="shared" si="36"/>
        <v/>
      </c>
      <c r="W71" s="109" t="str">
        <f t="shared" si="37"/>
        <v/>
      </c>
      <c r="X71" s="109">
        <f t="shared" si="38"/>
        <v>6</v>
      </c>
      <c r="Y71" s="109">
        <f t="shared" si="39"/>
        <v>6</v>
      </c>
      <c r="Z71" s="109">
        <f t="shared" si="40"/>
        <v>6</v>
      </c>
      <c r="AA71" s="109">
        <f t="shared" si="41"/>
        <v>6</v>
      </c>
      <c r="AB71" s="109">
        <f t="shared" si="42"/>
        <v>6</v>
      </c>
      <c r="AC71" s="109" t="str">
        <f>IF(P71="","",_xlfn.RANK.EQ(P71,P$44:P$88,1)+COUNTIF(P$44:P71,P71)-1)</f>
        <v/>
      </c>
      <c r="AD71" s="109" t="str">
        <f>IF(Q71="","",_xlfn.RANK.EQ(Q71,Q$44:Q$88,1)+COUNTIF(Q$44:Q71,Q71)-1)</f>
        <v/>
      </c>
      <c r="AE71" s="109" t="str">
        <f>IF(R71="","",_xlfn.RANK.EQ(R71,R$44:R$88,1)+COUNTIF(R$44:R118,R71)-1)</f>
        <v/>
      </c>
      <c r="AF71" s="109" t="str">
        <f>IF(S71="","",_xlfn.RANK.EQ(S71,S$44:S$88,1)+COUNTIF(S$44:S71,S71)-1)</f>
        <v/>
      </c>
      <c r="AG71" s="109" t="str">
        <f>IF(T71="","",_xlfn.RANK.EQ(T71,T$44:T$88,1)+COUNTIF(T$44:T71,T71)-1)</f>
        <v/>
      </c>
      <c r="AH71" s="109" t="str">
        <f>IF(U71="","",_xlfn.RANK.EQ(U71,U$44:U$88,1)+COUNTIF(U$44:U71,U71)-1)</f>
        <v/>
      </c>
      <c r="AI71" s="109" t="str">
        <f>IF(V71="","",_xlfn.RANK.EQ(V71,V$44:V$88,1)+COUNTIF(V$44:V71,V71)-1)</f>
        <v/>
      </c>
      <c r="AJ71" s="109" t="str">
        <f>IF(W71="","",_xlfn.RANK.EQ(W71,W$44:W$88,1)+COUNTIF(W$44:W71,W71)-1)</f>
        <v/>
      </c>
      <c r="AK71" s="109">
        <f>IF(X71="","",_xlfn.RANK.EQ(X71,X$44:X$88,1)+COUNTIF(X$44:X71,X71)-1)</f>
        <v>10</v>
      </c>
      <c r="AL71" s="109">
        <f>IF(Y71="","",_xlfn.RANK.EQ(Y71,Y$44:Y$88,1)+COUNTIF(Y$44:Y71,Y71)-1)</f>
        <v>10</v>
      </c>
      <c r="AM71" s="109">
        <f>IF(Z71="","",_xlfn.RANK.EQ(Z71,Z$44:Z$88,1)+COUNTIF(Z$44:Z71,Z71)-1)</f>
        <v>10</v>
      </c>
      <c r="AN71" s="109">
        <f>IF(AA71="","",_xlfn.RANK.EQ(AA71,AA$44:AA$88,1)+COUNTIF(AA$44:AA71,AA71)-1)</f>
        <v>10</v>
      </c>
      <c r="AO71" s="109">
        <f>IF(AB71="","",_xlfn.RANK.EQ(AB71,AB$44:AB$88,1)+COUNTIF(AB$44:AB71,AB71)-1)</f>
        <v>10</v>
      </c>
    </row>
    <row r="72" spans="1:41" ht="12.75" customHeight="1">
      <c r="B72" s="36" t="s">
        <v>28</v>
      </c>
      <c r="C72" s="37">
        <v>26</v>
      </c>
      <c r="D72" s="37" t="s">
        <v>125</v>
      </c>
      <c r="E72" s="37">
        <v>12</v>
      </c>
      <c r="F72" s="44">
        <v>12</v>
      </c>
      <c r="G72" s="72" t="s">
        <v>160</v>
      </c>
      <c r="H72" s="44" t="s">
        <v>67</v>
      </c>
      <c r="I72" s="37" t="s">
        <v>63</v>
      </c>
      <c r="J72" s="37" t="s">
        <v>8</v>
      </c>
      <c r="K72" s="37" t="s">
        <v>8</v>
      </c>
      <c r="L72" s="37" t="s">
        <v>8</v>
      </c>
      <c r="M72" s="37" t="s">
        <v>8</v>
      </c>
      <c r="N72" s="37" t="s">
        <v>8</v>
      </c>
      <c r="O72" s="160"/>
      <c r="P72" s="109" t="str">
        <f t="shared" si="55"/>
        <v/>
      </c>
      <c r="Q72" s="109" t="str">
        <f t="shared" si="55"/>
        <v/>
      </c>
      <c r="R72" s="109" t="str">
        <f t="shared" si="32"/>
        <v/>
      </c>
      <c r="S72" s="109" t="str">
        <f t="shared" si="33"/>
        <v/>
      </c>
      <c r="T72" s="109" t="str">
        <f t="shared" si="34"/>
        <v/>
      </c>
      <c r="U72" s="109" t="str">
        <f t="shared" si="35"/>
        <v/>
      </c>
      <c r="V72" s="109" t="str">
        <f t="shared" si="36"/>
        <v/>
      </c>
      <c r="W72" s="109" t="str">
        <f t="shared" si="37"/>
        <v/>
      </c>
      <c r="X72" s="109">
        <f t="shared" si="38"/>
        <v>12</v>
      </c>
      <c r="Y72" s="109">
        <f t="shared" si="39"/>
        <v>12</v>
      </c>
      <c r="Z72" s="109">
        <f t="shared" si="40"/>
        <v>12</v>
      </c>
      <c r="AA72" s="109">
        <f t="shared" si="41"/>
        <v>12</v>
      </c>
      <c r="AB72" s="109">
        <f t="shared" si="42"/>
        <v>12</v>
      </c>
      <c r="AC72" s="109" t="str">
        <f>IF(P72="","",_xlfn.RANK.EQ(P72,P$44:P$88,1)+COUNTIF(P$44:P72,P72)-1)</f>
        <v/>
      </c>
      <c r="AD72" s="109" t="str">
        <f>IF(Q72="","",_xlfn.RANK.EQ(Q72,Q$44:Q$88,1)+COUNTIF(Q$44:Q72,Q72)-1)</f>
        <v/>
      </c>
      <c r="AE72" s="109" t="str">
        <f>IF(R72="","",_xlfn.RANK.EQ(R72,R$44:R$88,1)+COUNTIF(R$44:R120,R72)-1)</f>
        <v/>
      </c>
      <c r="AF72" s="109" t="str">
        <f>IF(S72="","",_xlfn.RANK.EQ(S72,S$44:S$88,1)+COUNTIF(S$44:S72,S72)-1)</f>
        <v/>
      </c>
      <c r="AG72" s="109" t="str">
        <f>IF(T72="","",_xlfn.RANK.EQ(T72,T$44:T$88,1)+COUNTIF(T$44:T72,T72)-1)</f>
        <v/>
      </c>
      <c r="AH72" s="109" t="str">
        <f>IF(U72="","",_xlfn.RANK.EQ(U72,U$44:U$88,1)+COUNTIF(U$44:U72,U72)-1)</f>
        <v/>
      </c>
      <c r="AI72" s="109" t="str">
        <f>IF(V72="","",_xlfn.RANK.EQ(V72,V$44:V$88,1)+COUNTIF(V$44:V72,V72)-1)</f>
        <v/>
      </c>
      <c r="AJ72" s="109" t="str">
        <f>IF(W72="","",_xlfn.RANK.EQ(W72,W$44:W$88,1)+COUNTIF(W$44:W72,W72)-1)</f>
        <v/>
      </c>
      <c r="AK72" s="109">
        <f>IF(X72="","",_xlfn.RANK.EQ(X72,X$44:X$88,1)+COUNTIF(X$44:X72,X72)-1)</f>
        <v>15</v>
      </c>
      <c r="AL72" s="109">
        <f>IF(Y72="","",_xlfn.RANK.EQ(Y72,Y$44:Y$88,1)+COUNTIF(Y$44:Y72,Y72)-1)</f>
        <v>15</v>
      </c>
      <c r="AM72" s="109">
        <f>IF(Z72="","",_xlfn.RANK.EQ(Z72,Z$44:Z$88,1)+COUNTIF(Z$44:Z72,Z72)-1)</f>
        <v>15</v>
      </c>
      <c r="AN72" s="109">
        <f>IF(AA72="","",_xlfn.RANK.EQ(AA72,AA$44:AA$88,1)+COUNTIF(AA$44:AA72,AA72)-1)</f>
        <v>15</v>
      </c>
      <c r="AO72" s="109">
        <f>IF(AB72="","",_xlfn.RANK.EQ(AB72,AB$44:AB$88,1)+COUNTIF(AB$44:AB72,AB72)-1)</f>
        <v>15</v>
      </c>
    </row>
    <row r="73" spans="1:41" ht="12.75" customHeight="1">
      <c r="B73" s="36" t="s">
        <v>28</v>
      </c>
      <c r="C73" s="37">
        <v>3</v>
      </c>
      <c r="D73" s="37" t="s">
        <v>4</v>
      </c>
      <c r="E73" s="37"/>
      <c r="F73" s="44"/>
      <c r="G73" s="161"/>
      <c r="H73" s="44"/>
      <c r="I73" s="37"/>
      <c r="J73" s="37"/>
      <c r="K73" s="37"/>
      <c r="L73" s="37"/>
      <c r="M73" s="37"/>
      <c r="N73" s="37"/>
      <c r="O73" s="160"/>
      <c r="P73" s="109" t="str">
        <f t="shared" ref="P73:Q73" si="56">IF($I73=P$3,IF($F73&gt;14,$F73/100,$F73),"")</f>
        <v/>
      </c>
      <c r="Q73" s="109" t="str">
        <f t="shared" si="56"/>
        <v/>
      </c>
      <c r="R73" s="109" t="str">
        <f>IF($I73=R$3,$F73,"")</f>
        <v/>
      </c>
      <c r="S73" s="109" t="str">
        <f t="shared" ref="S73:W73" si="57">IF(J73="AM",IF($F73&gt;14,$F73/100,$F73),"")</f>
        <v/>
      </c>
      <c r="T73" s="109" t="str">
        <f t="shared" si="57"/>
        <v/>
      </c>
      <c r="U73" s="109" t="str">
        <f t="shared" si="57"/>
        <v/>
      </c>
      <c r="V73" s="109" t="str">
        <f t="shared" si="57"/>
        <v/>
      </c>
      <c r="W73" s="109" t="str">
        <f t="shared" si="57"/>
        <v/>
      </c>
      <c r="X73" s="109" t="str">
        <f t="shared" ref="X73:AB73" si="58">IF(J73="PM",IF($F73&gt;14,$F73/100,$F73),"")</f>
        <v/>
      </c>
      <c r="Y73" s="109" t="str">
        <f t="shared" si="58"/>
        <v/>
      </c>
      <c r="Z73" s="109" t="str">
        <f t="shared" si="58"/>
        <v/>
      </c>
      <c r="AA73" s="109" t="str">
        <f t="shared" si="58"/>
        <v/>
      </c>
      <c r="AB73" s="109" t="str">
        <f t="shared" si="58"/>
        <v/>
      </c>
      <c r="AC73" s="109" t="str">
        <f>IF(P73="","",_xlfn.RANK.EQ(P73,P$44:P$87,1)+COUNTIF(P$44:P73,P73)-1)</f>
        <v/>
      </c>
      <c r="AD73" s="109" t="str">
        <f>IF(Q73="","",_xlfn.RANK.EQ(Q73,Q$44:Q$87,1)+COUNTIF(Q$44:Q73,Q73)-1)</f>
        <v/>
      </c>
      <c r="AE73" s="138" t="str">
        <f>IF(R73="","",_xlfn.RANK.EQ(R73,R$44:R$87,1)+COUNTIF(R$44:R117,R73)-1)</f>
        <v/>
      </c>
      <c r="AF73" s="109" t="str">
        <f>IF(S73="","",_xlfn.RANK.EQ(S73,S$44:S$87,1)+COUNTIF(S$44:S73,S73)-1)</f>
        <v/>
      </c>
      <c r="AG73" s="109" t="str">
        <f>IF(T73="","",_xlfn.RANK.EQ(T73,T$44:T$87,1)+COUNTIF(T$44:T73,T73)-1)</f>
        <v/>
      </c>
      <c r="AH73" s="109" t="str">
        <f>IF(U73="","",_xlfn.RANK.EQ(U73,U$44:U$87,1)+COUNTIF(U$44:U73,U73)-1)</f>
        <v/>
      </c>
      <c r="AI73" s="109" t="str">
        <f>IF(V73="","",_xlfn.RANK.EQ(V73,V$44:V$87,1)+COUNTIF(V$44:V73,V73)-1)</f>
        <v/>
      </c>
      <c r="AJ73" s="109" t="str">
        <f>IF(W73="","",_xlfn.RANK.EQ(W73,W$44:W$87,1)+COUNTIF(W$44:W73,W73)-1)</f>
        <v/>
      </c>
      <c r="AK73" s="109" t="str">
        <f>IF(X73="","",_xlfn.RANK.EQ(X73,X$44:X$87,1)+COUNTIF(X$44:X73,X73)-1)</f>
        <v/>
      </c>
      <c r="AL73" s="109" t="str">
        <f>IF(Y73="","",_xlfn.RANK.EQ(Y73,Y$44:Y$87,1)+COUNTIF(Y$44:Y73,Y73)-1)</f>
        <v/>
      </c>
      <c r="AM73" s="109" t="str">
        <f>IF(Z73="","",_xlfn.RANK.EQ(Z73,Z$44:Z$87,1)+COUNTIF(Z$44:Z73,Z73)-1)</f>
        <v/>
      </c>
      <c r="AN73" s="109" t="str">
        <f>IF(AA73="","",_xlfn.RANK.EQ(AA73,AA$44:AA$87,1)+COUNTIF(AA$44:AA73,AA73)-1)</f>
        <v/>
      </c>
      <c r="AO73" s="109" t="str">
        <f>IF(AB73="","",_xlfn.RANK.EQ(AB73,AB$44:AB$87,1)+COUNTIF(AB$44:AB73,AB73)-1)</f>
        <v/>
      </c>
    </row>
    <row r="74" spans="1:41" ht="12.75" customHeight="1">
      <c r="B74" s="36" t="s">
        <v>28</v>
      </c>
      <c r="C74" s="37">
        <v>18</v>
      </c>
      <c r="D74" s="37" t="s">
        <v>4</v>
      </c>
      <c r="E74" s="37">
        <v>1</v>
      </c>
      <c r="F74" s="44">
        <v>1</v>
      </c>
      <c r="G74" s="161" t="s">
        <v>191</v>
      </c>
      <c r="H74" s="44" t="s">
        <v>67</v>
      </c>
      <c r="I74" s="37" t="s">
        <v>63</v>
      </c>
      <c r="J74" s="37" t="s">
        <v>65</v>
      </c>
      <c r="K74" s="37" t="s">
        <v>65</v>
      </c>
      <c r="L74" s="37" t="s">
        <v>65</v>
      </c>
      <c r="M74" s="37" t="s">
        <v>65</v>
      </c>
      <c r="N74" s="37" t="s">
        <v>65</v>
      </c>
      <c r="O74" s="160"/>
      <c r="P74" s="109" t="str">
        <f>IF($I74=P$3,IF($F74&gt;14,$F74/100,$F74),"")</f>
        <v/>
      </c>
      <c r="Q74" s="109" t="str">
        <f>IF($I74=Q$3,IF($F74&gt;14,$F74/100,$F74),"")</f>
        <v/>
      </c>
      <c r="R74" s="109" t="str">
        <f>IF($I74=R$3,$F74,"")</f>
        <v/>
      </c>
      <c r="S74" s="109">
        <f t="shared" ref="S74:W75" si="59">IF(J74="AM",IF($F74&gt;14,$F74/100,$F74),"")</f>
        <v>1</v>
      </c>
      <c r="T74" s="109">
        <f t="shared" si="59"/>
        <v>1</v>
      </c>
      <c r="U74" s="109">
        <f t="shared" si="59"/>
        <v>1</v>
      </c>
      <c r="V74" s="109">
        <f t="shared" si="59"/>
        <v>1</v>
      </c>
      <c r="W74" s="109">
        <f t="shared" si="59"/>
        <v>1</v>
      </c>
      <c r="X74" s="109" t="str">
        <f t="shared" ref="X74:AB75" si="60">IF(J74="PM",IF($F74&gt;14,$F74/100,$F74),"")</f>
        <v/>
      </c>
      <c r="Y74" s="109" t="str">
        <f t="shared" si="60"/>
        <v/>
      </c>
      <c r="Z74" s="109" t="str">
        <f t="shared" si="60"/>
        <v/>
      </c>
      <c r="AA74" s="109" t="str">
        <f t="shared" si="60"/>
        <v/>
      </c>
      <c r="AB74" s="109" t="str">
        <f t="shared" si="60"/>
        <v/>
      </c>
      <c r="AC74" s="109" t="str">
        <f>IF(P74="","",_xlfn.RANK.EQ(P74,P$44:P$88,1)+COUNTIF(P$44:P74,P74)-1)</f>
        <v/>
      </c>
      <c r="AD74" s="109" t="str">
        <f>IF(Q74="","",_xlfn.RANK.EQ(Q74,Q$44:Q$88,1)+COUNTIF(Q$44:Q74,Q74)-1)</f>
        <v/>
      </c>
      <c r="AE74" s="138" t="str">
        <f>IF(R74="","",_xlfn.RANK.EQ(R74,R$44:R$88,1)+COUNTIF(R$44:R119,R74)-1)</f>
        <v/>
      </c>
      <c r="AF74" s="109">
        <f>IF(S74="","",_xlfn.RANK.EQ(S74,S$44:S$88,1)+COUNTIF(S$44:S74,S74)-1)</f>
        <v>4</v>
      </c>
      <c r="AG74" s="109">
        <f>IF(T74="","",_xlfn.RANK.EQ(T74,T$44:T$88,1)+COUNTIF(T$44:T74,T74)-1)</f>
        <v>4</v>
      </c>
      <c r="AH74" s="109">
        <f>IF(U74="","",_xlfn.RANK.EQ(U74,U$44:U$88,1)+COUNTIF(U$44:U74,U74)-1)</f>
        <v>4</v>
      </c>
      <c r="AI74" s="109">
        <f>IF(V74="","",_xlfn.RANK.EQ(V74,V$44:V$88,1)+COUNTIF(V$44:V74,V74)-1)</f>
        <v>4</v>
      </c>
      <c r="AJ74" s="109">
        <f>IF(W74="","",_xlfn.RANK.EQ(W74,W$44:W$88,1)+COUNTIF(W$44:W74,W74)-1)</f>
        <v>4</v>
      </c>
      <c r="AK74" s="109" t="str">
        <f>IF(X74="","",_xlfn.RANK.EQ(X74,X$44:X$88,1)+COUNTIF(X$44:X74,X74)-1)</f>
        <v/>
      </c>
      <c r="AL74" s="109" t="str">
        <f>IF(Y74="","",_xlfn.RANK.EQ(Y74,Y$44:Y$88,1)+COUNTIF(Y$44:Y74,Y74)-1)</f>
        <v/>
      </c>
      <c r="AM74" s="109" t="str">
        <f>IF(Z74="","",_xlfn.RANK.EQ(Z74,Z$44:Z$88,1)+COUNTIF(Z$44:Z74,Z74)-1)</f>
        <v/>
      </c>
      <c r="AN74" s="109" t="str">
        <f>IF(AA74="","",_xlfn.RANK.EQ(AA74,AA$44:AA$88,1)+COUNTIF(AA$44:AA74,AA74)-1)</f>
        <v/>
      </c>
      <c r="AO74" s="109" t="str">
        <f>IF(AB74="","",_xlfn.RANK.EQ(AB74,AB$44:AB$88,1)+COUNTIF(AB$44:AB74,AB74)-1)</f>
        <v/>
      </c>
    </row>
    <row r="75" spans="1:41" ht="12.75" customHeight="1">
      <c r="B75" s="36" t="s">
        <v>28</v>
      </c>
      <c r="C75" s="37">
        <v>18</v>
      </c>
      <c r="D75" s="37" t="s">
        <v>4</v>
      </c>
      <c r="E75" s="37">
        <v>1</v>
      </c>
      <c r="F75" s="44">
        <v>1</v>
      </c>
      <c r="G75" s="161" t="s">
        <v>191</v>
      </c>
      <c r="H75" s="44" t="s">
        <v>67</v>
      </c>
      <c r="I75" s="37" t="s">
        <v>63</v>
      </c>
      <c r="J75" s="37" t="s">
        <v>8</v>
      </c>
      <c r="K75" s="37" t="s">
        <v>8</v>
      </c>
      <c r="L75" s="37" t="s">
        <v>8</v>
      </c>
      <c r="M75" s="37" t="s">
        <v>8</v>
      </c>
      <c r="N75" s="37" t="s">
        <v>8</v>
      </c>
      <c r="O75" s="160"/>
      <c r="P75" s="109" t="str">
        <f>IF($I75=P$3,IF($F75&gt;14,$F75/100,$F75),"")</f>
        <v/>
      </c>
      <c r="Q75" s="109" t="str">
        <f>IF($I75=Q$3,IF($F75&gt;14,$F75/100,$F75),"")</f>
        <v/>
      </c>
      <c r="R75" s="109" t="str">
        <f>IF($I75=R$3,$F75,"")</f>
        <v/>
      </c>
      <c r="S75" s="109" t="str">
        <f t="shared" si="59"/>
        <v/>
      </c>
      <c r="T75" s="109" t="str">
        <f t="shared" si="59"/>
        <v/>
      </c>
      <c r="U75" s="109" t="str">
        <f t="shared" si="59"/>
        <v/>
      </c>
      <c r="V75" s="109" t="str">
        <f t="shared" si="59"/>
        <v/>
      </c>
      <c r="W75" s="109" t="str">
        <f t="shared" si="59"/>
        <v/>
      </c>
      <c r="X75" s="109">
        <f t="shared" si="60"/>
        <v>1</v>
      </c>
      <c r="Y75" s="109">
        <f t="shared" si="60"/>
        <v>1</v>
      </c>
      <c r="Z75" s="109">
        <f t="shared" si="60"/>
        <v>1</v>
      </c>
      <c r="AA75" s="109">
        <f t="shared" si="60"/>
        <v>1</v>
      </c>
      <c r="AB75" s="109">
        <f t="shared" si="60"/>
        <v>1</v>
      </c>
      <c r="AC75" s="109" t="str">
        <f>IF(P75="","",_xlfn.RANK.EQ(P75,P$44:P$88,1)+COUNTIF(P$44:P75,P75)-1)</f>
        <v/>
      </c>
      <c r="AD75" s="109" t="str">
        <f>IF(Q75="","",_xlfn.RANK.EQ(Q75,Q$44:Q$88,1)+COUNTIF(Q$44:Q75,Q75)-1)</f>
        <v/>
      </c>
      <c r="AE75" s="138" t="str">
        <f>IF(R75="","",_xlfn.RANK.EQ(R75,R$44:R$88,1)+COUNTIF(R$44:R119,R75)-1)</f>
        <v/>
      </c>
      <c r="AF75" s="109" t="str">
        <f>IF(S75="","",_xlfn.RANK.EQ(S75,S$44:S$88,1)+COUNTIF(S$44:S75,S75)-1)</f>
        <v/>
      </c>
      <c r="AG75" s="109" t="str">
        <f>IF(T75="","",_xlfn.RANK.EQ(T75,T$44:T$88,1)+COUNTIF(T$44:T75,T75)-1)</f>
        <v/>
      </c>
      <c r="AH75" s="109" t="str">
        <f>IF(U75="","",_xlfn.RANK.EQ(U75,U$44:U$88,1)+COUNTIF(U$44:U75,U75)-1)</f>
        <v/>
      </c>
      <c r="AI75" s="109" t="str">
        <f>IF(V75="","",_xlfn.RANK.EQ(V75,V$44:V$88,1)+COUNTIF(V$44:V75,V75)-1)</f>
        <v/>
      </c>
      <c r="AJ75" s="109" t="str">
        <f>IF(W75="","",_xlfn.RANK.EQ(W75,W$44:W$88,1)+COUNTIF(W$44:W75,W75)-1)</f>
        <v/>
      </c>
      <c r="AK75" s="109">
        <f>IF(X75="","",_xlfn.RANK.EQ(X75,X$44:X$88,1)+COUNTIF(X$44:X75,X75)-1)</f>
        <v>7</v>
      </c>
      <c r="AL75" s="109">
        <f>IF(Y75="","",_xlfn.RANK.EQ(Y75,Y$44:Y$88,1)+COUNTIF(Y$44:Y75,Y75)-1)</f>
        <v>8</v>
      </c>
      <c r="AM75" s="109">
        <f>IF(Z75="","",_xlfn.RANK.EQ(Z75,Z$44:Z$88,1)+COUNTIF(Z$44:Z75,Z75)-1)</f>
        <v>7</v>
      </c>
      <c r="AN75" s="109">
        <f>IF(AA75="","",_xlfn.RANK.EQ(AA75,AA$44:AA$88,1)+COUNTIF(AA$44:AA75,AA75)-1)</f>
        <v>8</v>
      </c>
      <c r="AO75" s="109">
        <f>IF(AB75="","",_xlfn.RANK.EQ(AB75,AB$44:AB$88,1)+COUNTIF(AB$44:AB75,AB75)-1)</f>
        <v>7</v>
      </c>
    </row>
    <row r="76" spans="1:41" ht="12.75" customHeight="1">
      <c r="B76" s="36" t="s">
        <v>28</v>
      </c>
      <c r="C76" s="37">
        <v>7</v>
      </c>
      <c r="D76" s="37" t="s">
        <v>3</v>
      </c>
      <c r="E76" s="37">
        <v>12</v>
      </c>
      <c r="F76" s="163">
        <v>10</v>
      </c>
      <c r="G76" s="43" t="s">
        <v>150</v>
      </c>
      <c r="H76" s="44" t="s">
        <v>129</v>
      </c>
      <c r="I76" s="37" t="s">
        <v>153</v>
      </c>
      <c r="J76" s="37"/>
      <c r="K76" s="37" t="s">
        <v>65</v>
      </c>
      <c r="L76" s="37"/>
      <c r="M76" s="37"/>
      <c r="N76" s="37" t="s">
        <v>65</v>
      </c>
      <c r="O76" s="160"/>
      <c r="P76" s="109" t="str">
        <f t="shared" si="55"/>
        <v/>
      </c>
      <c r="Q76" s="109" t="str">
        <f t="shared" si="55"/>
        <v/>
      </c>
      <c r="R76" s="109" t="str">
        <f t="shared" si="32"/>
        <v/>
      </c>
      <c r="S76" s="109" t="str">
        <f t="shared" si="33"/>
        <v/>
      </c>
      <c r="T76" s="109">
        <f t="shared" si="34"/>
        <v>10</v>
      </c>
      <c r="U76" s="109" t="str">
        <f t="shared" si="35"/>
        <v/>
      </c>
      <c r="V76" s="109" t="str">
        <f t="shared" si="36"/>
        <v/>
      </c>
      <c r="W76" s="109">
        <f t="shared" si="37"/>
        <v>10</v>
      </c>
      <c r="X76" s="109" t="str">
        <f t="shared" si="38"/>
        <v/>
      </c>
      <c r="Y76" s="109" t="str">
        <f t="shared" si="39"/>
        <v/>
      </c>
      <c r="Z76" s="109" t="str">
        <f t="shared" si="40"/>
        <v/>
      </c>
      <c r="AA76" s="109" t="str">
        <f t="shared" si="41"/>
        <v/>
      </c>
      <c r="AB76" s="109" t="str">
        <f t="shared" si="42"/>
        <v/>
      </c>
      <c r="AC76" s="109" t="str">
        <f>IF(P76="","",_xlfn.RANK.EQ(P76,P$44:P$88,1)+COUNTIF(P$44:P76,P76)-1)</f>
        <v/>
      </c>
      <c r="AD76" s="109" t="str">
        <f>IF(Q76="","",_xlfn.RANK.EQ(Q76,Q$44:Q$88,1)+COUNTIF(Q$44:Q76,Q76)-1)</f>
        <v/>
      </c>
      <c r="AE76" s="138" t="str">
        <f>IF(R76="","",_xlfn.RANK.EQ(R76,R$44:R$88,1)+COUNTIF(R$44:R119,R76)-1)</f>
        <v/>
      </c>
      <c r="AF76" s="109" t="str">
        <f>IF(S76="","",_xlfn.RANK.EQ(S76,S$44:S$88,1)+COUNTIF(S$44:S76,S76)-1)</f>
        <v/>
      </c>
      <c r="AG76" s="109">
        <f>IF(T76="","",_xlfn.RANK.EQ(T76,T$44:T$88,1)+COUNTIF(T$44:T76,T76)-1)</f>
        <v>8</v>
      </c>
      <c r="AH76" s="109" t="str">
        <f>IF(U76="","",_xlfn.RANK.EQ(U76,U$44:U$88,1)+COUNTIF(U$44:U76,U76)-1)</f>
        <v/>
      </c>
      <c r="AI76" s="109" t="str">
        <f>IF(V76="","",_xlfn.RANK.EQ(V76,V$44:V$88,1)+COUNTIF(V$44:V76,V76)-1)</f>
        <v/>
      </c>
      <c r="AJ76" s="109">
        <f>IF(W76="","",_xlfn.RANK.EQ(W76,W$44:W$88,1)+COUNTIF(W$44:W76,W76)-1)</f>
        <v>8</v>
      </c>
      <c r="AK76" s="109" t="str">
        <f>IF(X76="","",_xlfn.RANK.EQ(X76,X$44:X$88,1)+COUNTIF(X$44:X76,X76)-1)</f>
        <v/>
      </c>
      <c r="AL76" s="109" t="str">
        <f>IF(Y76="","",_xlfn.RANK.EQ(Y76,Y$44:Y$88,1)+COUNTIF(Y$44:Y76,Y76)-1)</f>
        <v/>
      </c>
      <c r="AM76" s="109" t="str">
        <f>IF(Z76="","",_xlfn.RANK.EQ(Z76,Z$44:Z$88,1)+COUNTIF(Z$44:Z76,Z76)-1)</f>
        <v/>
      </c>
      <c r="AN76" s="109" t="str">
        <f>IF(AA76="","",_xlfn.RANK.EQ(AA76,AA$44:AA$88,1)+COUNTIF(AA$44:AA76,AA76)-1)</f>
        <v/>
      </c>
      <c r="AO76" s="109" t="str">
        <f>IF(AB76="","",_xlfn.RANK.EQ(AB76,AB$44:AB$88,1)+COUNTIF(AB$44:AB76,AB76)-1)</f>
        <v/>
      </c>
    </row>
    <row r="77" spans="1:41" ht="12.75" customHeight="1">
      <c r="B77" s="36" t="s">
        <v>166</v>
      </c>
      <c r="C77" s="37">
        <v>7</v>
      </c>
      <c r="D77" s="37" t="s">
        <v>53</v>
      </c>
      <c r="E77" s="37">
        <v>12</v>
      </c>
      <c r="F77" s="44">
        <v>12</v>
      </c>
      <c r="G77" s="43" t="s">
        <v>184</v>
      </c>
      <c r="H77" s="44" t="s">
        <v>52</v>
      </c>
      <c r="I77" s="37" t="s">
        <v>63</v>
      </c>
      <c r="J77" s="37" t="s">
        <v>65</v>
      </c>
      <c r="K77" s="37" t="s">
        <v>8</v>
      </c>
      <c r="L77" s="37" t="s">
        <v>65</v>
      </c>
      <c r="M77" s="37" t="s">
        <v>8</v>
      </c>
      <c r="N77" s="37" t="s">
        <v>65</v>
      </c>
      <c r="O77" s="160"/>
      <c r="P77" s="109" t="str">
        <f t="shared" si="55"/>
        <v/>
      </c>
      <c r="Q77" s="109" t="str">
        <f t="shared" si="55"/>
        <v/>
      </c>
      <c r="R77" s="109" t="str">
        <f t="shared" si="32"/>
        <v/>
      </c>
      <c r="S77" s="109">
        <f t="shared" si="33"/>
        <v>12</v>
      </c>
      <c r="T77" s="109" t="str">
        <f t="shared" si="34"/>
        <v/>
      </c>
      <c r="U77" s="109">
        <f t="shared" si="35"/>
        <v>12</v>
      </c>
      <c r="V77" s="109" t="str">
        <f t="shared" si="36"/>
        <v/>
      </c>
      <c r="W77" s="109">
        <f t="shared" si="37"/>
        <v>12</v>
      </c>
      <c r="X77" s="109" t="str">
        <f t="shared" si="38"/>
        <v/>
      </c>
      <c r="Y77" s="109">
        <f t="shared" si="39"/>
        <v>12</v>
      </c>
      <c r="Z77" s="109" t="str">
        <f t="shared" si="40"/>
        <v/>
      </c>
      <c r="AA77" s="109">
        <f t="shared" si="41"/>
        <v>12</v>
      </c>
      <c r="AB77" s="109" t="str">
        <f t="shared" si="42"/>
        <v/>
      </c>
      <c r="AC77" s="109" t="str">
        <f>IF(P77="","",_xlfn.RANK.EQ(P77,P$44:P$88,1)+COUNTIF(P$44:P77,P77)-1)</f>
        <v/>
      </c>
      <c r="AD77" s="109" t="str">
        <f>IF(Q77="","",_xlfn.RANK.EQ(Q77,Q$44:Q$88,1)+COUNTIF(Q$44:Q77,Q77)-1)</f>
        <v/>
      </c>
      <c r="AE77" s="138" t="str">
        <f>IF(R77="","",_xlfn.RANK.EQ(R77,R$44:R$88,1)+COUNTIF(R$44:R120,R77)-1)</f>
        <v/>
      </c>
      <c r="AF77" s="109">
        <f>IF(S77="","",_xlfn.RANK.EQ(S77,S$44:S$88,1)+COUNTIF(S$44:S77,S77)-1)</f>
        <v>8</v>
      </c>
      <c r="AG77" s="109" t="str">
        <f>IF(T77="","",_xlfn.RANK.EQ(T77,T$44:T$88,1)+COUNTIF(T$44:T77,T77)-1)</f>
        <v/>
      </c>
      <c r="AH77" s="109">
        <f>IF(U77="","",_xlfn.RANK.EQ(U77,U$44:U$88,1)+COUNTIF(U$44:U77,U77)-1)</f>
        <v>8</v>
      </c>
      <c r="AI77" s="109" t="str">
        <f>IF(V77="","",_xlfn.RANK.EQ(V77,V$44:V$88,1)+COUNTIF(V$44:V77,V77)-1)</f>
        <v/>
      </c>
      <c r="AJ77" s="109">
        <f>IF(W77="","",_xlfn.RANK.EQ(W77,W$44:W$88,1)+COUNTIF(W$44:W77,W77)-1)</f>
        <v>9</v>
      </c>
      <c r="AK77" s="109" t="str">
        <f>IF(X77="","",_xlfn.RANK.EQ(X77,X$44:X$88,1)+COUNTIF(X$44:X77,X77)-1)</f>
        <v/>
      </c>
      <c r="AL77" s="109">
        <f>IF(Y77="","",_xlfn.RANK.EQ(Y77,Y$44:Y$88,1)+COUNTIF(Y$44:Y77,Y77)-1)</f>
        <v>16</v>
      </c>
      <c r="AM77" s="109" t="str">
        <f>IF(Z77="","",_xlfn.RANK.EQ(Z77,Z$44:Z$88,1)+COUNTIF(Z$44:Z77,Z77)-1)</f>
        <v/>
      </c>
      <c r="AN77" s="109">
        <f>IF(AA77="","",_xlfn.RANK.EQ(AA77,AA$44:AA$88,1)+COUNTIF(AA$44:AA77,AA77)-1)</f>
        <v>16</v>
      </c>
      <c r="AO77" s="109" t="str">
        <f>IF(AB77="","",_xlfn.RANK.EQ(AB77,AB$44:AB$88,1)+COUNTIF(AB$44:AB77,AB77)-1)</f>
        <v/>
      </c>
    </row>
    <row r="78" spans="1:41" ht="12.75" customHeight="1">
      <c r="B78" s="36" t="s">
        <v>166</v>
      </c>
      <c r="C78" s="37">
        <v>3</v>
      </c>
      <c r="D78" s="37" t="s">
        <v>53</v>
      </c>
      <c r="E78" s="37">
        <v>3</v>
      </c>
      <c r="F78" s="44">
        <v>3</v>
      </c>
      <c r="G78" s="43" t="s">
        <v>156</v>
      </c>
      <c r="H78" s="44" t="s">
        <v>52</v>
      </c>
      <c r="I78" s="37" t="s">
        <v>155</v>
      </c>
      <c r="J78" s="37" t="s">
        <v>43</v>
      </c>
      <c r="K78" s="37" t="s">
        <v>43</v>
      </c>
      <c r="L78" s="37" t="s">
        <v>43</v>
      </c>
      <c r="M78" s="37" t="s">
        <v>43</v>
      </c>
      <c r="N78" s="37" t="s">
        <v>43</v>
      </c>
      <c r="O78" s="160"/>
      <c r="P78" s="109" t="str">
        <f>IF($I78=P$3,IF($F78&gt;14,$F78/100,$F78),"")</f>
        <v/>
      </c>
      <c r="Q78" s="109" t="str">
        <f>IF($I78=Q$3,IF($F78&gt;14,$F78/100,$F78),"")</f>
        <v/>
      </c>
      <c r="R78" s="109" t="str">
        <f>IF($I78=R$3,$F78,"")</f>
        <v/>
      </c>
      <c r="S78" s="109" t="str">
        <f t="shared" ref="S78:W78" si="61">IF(J78="AM",IF($F78&gt;14,$F78/100,$F78),"")</f>
        <v/>
      </c>
      <c r="T78" s="109" t="str">
        <f t="shared" si="61"/>
        <v/>
      </c>
      <c r="U78" s="109" t="str">
        <f t="shared" si="61"/>
        <v/>
      </c>
      <c r="V78" s="109" t="str">
        <f t="shared" si="61"/>
        <v/>
      </c>
      <c r="W78" s="109" t="str">
        <f t="shared" si="61"/>
        <v/>
      </c>
      <c r="X78" s="109" t="str">
        <f t="shared" ref="X78:AB78" si="62">IF(J78="PM",IF($F78&gt;14,$F78/100,$F78),"")</f>
        <v/>
      </c>
      <c r="Y78" s="109" t="str">
        <f t="shared" si="62"/>
        <v/>
      </c>
      <c r="Z78" s="109" t="str">
        <f t="shared" si="62"/>
        <v/>
      </c>
      <c r="AA78" s="109" t="str">
        <f t="shared" si="62"/>
        <v/>
      </c>
      <c r="AB78" s="109" t="str">
        <f t="shared" si="62"/>
        <v/>
      </c>
      <c r="AC78" s="109" t="str">
        <f>IF(P78="","",_xlfn.RANK.EQ(P78,P$44:P$88,1)+COUNTIF(P$44:P78,P78)-1)</f>
        <v/>
      </c>
      <c r="AD78" s="109" t="str">
        <f>IF(Q78="","",_xlfn.RANK.EQ(Q78,Q$44:Q$88,1)+COUNTIF(Q$44:Q78,Q78)-1)</f>
        <v/>
      </c>
      <c r="AE78" s="138" t="str">
        <f>IF(R78="","",_xlfn.RANK.EQ(R78,R$44:R$88,1)+COUNTIF(R$44:R122,R78)-1)</f>
        <v/>
      </c>
      <c r="AF78" s="109" t="str">
        <f>IF(S78="","",_xlfn.RANK.EQ(S78,S$44:S$88,1)+COUNTIF(S$44:S78,S78)-1)</f>
        <v/>
      </c>
      <c r="AG78" s="109" t="str">
        <f>IF(T78="","",_xlfn.RANK.EQ(T78,T$44:T$88,1)+COUNTIF(T$44:T78,T78)-1)</f>
        <v/>
      </c>
      <c r="AH78" s="109" t="str">
        <f>IF(U78="","",_xlfn.RANK.EQ(U78,U$44:U$88,1)+COUNTIF(U$44:U78,U78)-1)</f>
        <v/>
      </c>
      <c r="AI78" s="109" t="str">
        <f>IF(V78="","",_xlfn.RANK.EQ(V78,V$44:V$88,1)+COUNTIF(V$44:V78,V78)-1)</f>
        <v/>
      </c>
      <c r="AJ78" s="109" t="str">
        <f>IF(W78="","",_xlfn.RANK.EQ(W78,W$44:W$88,1)+COUNTIF(W$44:W78,W78)-1)</f>
        <v/>
      </c>
      <c r="AK78" s="109" t="str">
        <f>IF(X78="","",_xlfn.RANK.EQ(X78,X$44:X$88,1)+COUNTIF(X$44:X78,X78)-1)</f>
        <v/>
      </c>
      <c r="AL78" s="109" t="str">
        <f>IF(Y78="","",_xlfn.RANK.EQ(Y78,Y$44:Y$88,1)+COUNTIF(Y$44:Y78,Y78)-1)</f>
        <v/>
      </c>
      <c r="AM78" s="109" t="str">
        <f>IF(Z78="","",_xlfn.RANK.EQ(Z78,Z$44:Z$88,1)+COUNTIF(Z$44:Z78,Z78)-1)</f>
        <v/>
      </c>
      <c r="AN78" s="109" t="str">
        <f>IF(AA78="","",_xlfn.RANK.EQ(AA78,AA$44:AA$88,1)+COUNTIF(AA$44:AA78,AA78)-1)</f>
        <v/>
      </c>
      <c r="AO78" s="109" t="str">
        <f>IF(AB78="","",_xlfn.RANK.EQ(AB78,AB$44:AB$88,1)+COUNTIF(AB$44:AB78,AB78)-1)</f>
        <v/>
      </c>
    </row>
    <row r="79" spans="1:41" ht="12.75" customHeight="1">
      <c r="B79" s="36" t="s">
        <v>166</v>
      </c>
      <c r="C79" s="37">
        <v>3</v>
      </c>
      <c r="D79" s="37" t="s">
        <v>53</v>
      </c>
      <c r="E79" s="37">
        <v>3</v>
      </c>
      <c r="F79" s="44">
        <v>3</v>
      </c>
      <c r="G79" s="43" t="s">
        <v>168</v>
      </c>
      <c r="H79" s="44" t="s">
        <v>52</v>
      </c>
      <c r="I79" s="37" t="s">
        <v>167</v>
      </c>
      <c r="J79" s="37" t="s">
        <v>8</v>
      </c>
      <c r="K79" s="37"/>
      <c r="L79" s="37" t="s">
        <v>8</v>
      </c>
      <c r="M79" s="37"/>
      <c r="N79" s="37" t="s">
        <v>8</v>
      </c>
      <c r="O79" s="160"/>
      <c r="P79" s="109" t="str">
        <f t="shared" si="55"/>
        <v/>
      </c>
      <c r="Q79" s="109" t="str">
        <f t="shared" si="55"/>
        <v/>
      </c>
      <c r="R79" s="109" t="str">
        <f t="shared" si="32"/>
        <v/>
      </c>
      <c r="S79" s="109" t="str">
        <f t="shared" si="33"/>
        <v/>
      </c>
      <c r="T79" s="109" t="str">
        <f t="shared" si="34"/>
        <v/>
      </c>
      <c r="U79" s="109" t="str">
        <f t="shared" si="35"/>
        <v/>
      </c>
      <c r="V79" s="109" t="str">
        <f t="shared" si="36"/>
        <v/>
      </c>
      <c r="W79" s="109" t="str">
        <f t="shared" si="37"/>
        <v/>
      </c>
      <c r="X79" s="109">
        <f t="shared" si="38"/>
        <v>3</v>
      </c>
      <c r="Y79" s="109" t="str">
        <f t="shared" si="39"/>
        <v/>
      </c>
      <c r="Z79" s="109">
        <f t="shared" si="40"/>
        <v>3</v>
      </c>
      <c r="AA79" s="109" t="str">
        <f t="shared" si="41"/>
        <v/>
      </c>
      <c r="AB79" s="109">
        <f t="shared" si="42"/>
        <v>3</v>
      </c>
      <c r="AC79" s="109" t="str">
        <f>IF(P79="","",_xlfn.RANK.EQ(P79,P$44:P$88,1)+COUNTIF(P$44:P79,P79)-1)</f>
        <v/>
      </c>
      <c r="AD79" s="109" t="str">
        <f>IF(Q79="","",_xlfn.RANK.EQ(Q79,Q$44:Q$88,1)+COUNTIF(Q$44:Q79,Q79)-1)</f>
        <v/>
      </c>
      <c r="AE79" s="138" t="str">
        <f>IF(R79="","",_xlfn.RANK.EQ(R79,R$44:R$88,1)+COUNTIF(R$44:R119,R79)-1)</f>
        <v/>
      </c>
      <c r="AF79" s="109" t="str">
        <f>IF(S79="","",_xlfn.RANK.EQ(S79,S$44:S$88,1)+COUNTIF(S$44:S79,S79)-1)</f>
        <v/>
      </c>
      <c r="AG79" s="109" t="str">
        <f>IF(T79="","",_xlfn.RANK.EQ(T79,T$44:T$88,1)+COUNTIF(T$44:T79,T79)-1)</f>
        <v/>
      </c>
      <c r="AH79" s="109" t="str">
        <f>IF(U79="","",_xlfn.RANK.EQ(U79,U$44:U$88,1)+COUNTIF(U$44:U79,U79)-1)</f>
        <v/>
      </c>
      <c r="AI79" s="109" t="str">
        <f>IF(V79="","",_xlfn.RANK.EQ(V79,V$44:V$88,1)+COUNTIF(V$44:V79,V79)-1)</f>
        <v/>
      </c>
      <c r="AJ79" s="109" t="str">
        <f>IF(W79="","",_xlfn.RANK.EQ(W79,W$44:W$88,1)+COUNTIF(W$44:W79,W79)-1)</f>
        <v/>
      </c>
      <c r="AK79" s="109">
        <f>IF(X79="","",_xlfn.RANK.EQ(X79,X$44:X$88,1)+COUNTIF(X$44:X79,X79)-1)</f>
        <v>8</v>
      </c>
      <c r="AL79" s="109" t="str">
        <f>IF(Y79="","",_xlfn.RANK.EQ(Y79,Y$44:Y$88,1)+COUNTIF(Y$44:Y79,Y79)-1)</f>
        <v/>
      </c>
      <c r="AM79" s="109">
        <f>IF(Z79="","",_xlfn.RANK.EQ(Z79,Z$44:Z$88,1)+COUNTIF(Z$44:Z79,Z79)-1)</f>
        <v>8</v>
      </c>
      <c r="AN79" s="109" t="str">
        <f>IF(AA79="","",_xlfn.RANK.EQ(AA79,AA$44:AA$88,1)+COUNTIF(AA$44:AA79,AA79)-1)</f>
        <v/>
      </c>
      <c r="AO79" s="109">
        <f>IF(AB79="","",_xlfn.RANK.EQ(AB79,AB$44:AB$88,1)+COUNTIF(AB$44:AB79,AB79)-1)</f>
        <v>8</v>
      </c>
    </row>
    <row r="80" spans="1:41" ht="12.75" customHeight="1">
      <c r="B80" s="36" t="s">
        <v>28</v>
      </c>
      <c r="C80" s="37">
        <v>4</v>
      </c>
      <c r="D80" s="37" t="s">
        <v>3</v>
      </c>
      <c r="E80" s="37">
        <v>2</v>
      </c>
      <c r="F80" s="44">
        <v>2</v>
      </c>
      <c r="G80" s="161" t="s">
        <v>137</v>
      </c>
      <c r="H80" s="44" t="s">
        <v>52</v>
      </c>
      <c r="I80" s="37" t="s">
        <v>20</v>
      </c>
      <c r="J80" s="37" t="s">
        <v>7</v>
      </c>
      <c r="K80" s="37" t="s">
        <v>7</v>
      </c>
      <c r="L80" s="37" t="s">
        <v>7</v>
      </c>
      <c r="M80" s="37" t="s">
        <v>7</v>
      </c>
      <c r="N80" s="37" t="s">
        <v>7</v>
      </c>
      <c r="O80" s="160"/>
      <c r="P80" s="109" t="str">
        <f>IF($I80=P$3,IF($F80&gt;14,$F80/100,$F80),"")</f>
        <v/>
      </c>
      <c r="Q80" s="109">
        <f>IF($I80=Q$3,IF($F80&gt;14,$F80/100,$F80),"")</f>
        <v>2</v>
      </c>
      <c r="R80" s="109" t="str">
        <f>IF($I80=R$3,$F80,"")</f>
        <v/>
      </c>
      <c r="S80" s="109" t="str">
        <f>IF(J80="AM",IF($F80&gt;14,$F80/100,$F80),"")</f>
        <v/>
      </c>
      <c r="T80" s="109" t="str">
        <f>IF(K80="AM",IF($F80&gt;14,$F80/100,$F80),"")</f>
        <v/>
      </c>
      <c r="U80" s="109" t="str">
        <f>IF(L80="AM",IF($F80&gt;14,$F80/100,$F80),"")</f>
        <v/>
      </c>
      <c r="V80" s="109" t="str">
        <f>IF(M80="AM",IF($F80&gt;14,$F80/100,$F80),"")</f>
        <v/>
      </c>
      <c r="W80" s="109" t="str">
        <f>IF(N80="AM",IF($F80&gt;14,$F80/100,$F80),"")</f>
        <v/>
      </c>
      <c r="X80" s="109" t="str">
        <f>IF(J80="PM",IF($F80&gt;14,$F80/100,$F80),"")</f>
        <v/>
      </c>
      <c r="Y80" s="109" t="str">
        <f>IF(K80="PM",IF($F80&gt;14,$F80/100,$F80),"")</f>
        <v/>
      </c>
      <c r="Z80" s="109" t="str">
        <f>IF(L80="PM",IF($F80&gt;14,$F80/100,$F80),"")</f>
        <v/>
      </c>
      <c r="AA80" s="109" t="str">
        <f>IF(M80="PM",IF($F80&gt;14,$F80/100,$F80),"")</f>
        <v/>
      </c>
      <c r="AB80" s="109" t="str">
        <f>IF(N80="PM",IF($F80&gt;14,$F80/100,$F80),"")</f>
        <v/>
      </c>
      <c r="AC80" s="109" t="str">
        <f>IF(P80="","",_xlfn.RANK.EQ(P80,P$44:P$88,1)+COUNTIF(P$44:P80,P80)-1)</f>
        <v/>
      </c>
      <c r="AD80" s="109">
        <f>IF(Q80="","",_xlfn.RANK.EQ(Q80,Q$44:Q$88,1)+COUNTIF(Q$44:Q80,Q80)-1)</f>
        <v>2</v>
      </c>
      <c r="AE80" s="138" t="str">
        <f>IF(R80="","",_xlfn.RANK.EQ(R80,R$44:R$88,1)+COUNTIF(R$44:R125,R80)-1)</f>
        <v/>
      </c>
      <c r="AF80" s="109" t="str">
        <f>IF(S80="","",_xlfn.RANK.EQ(S80,S$44:S$88,1)+COUNTIF(S$44:S80,S80)-1)</f>
        <v/>
      </c>
      <c r="AG80" s="109" t="str">
        <f>IF(T80="","",_xlfn.RANK.EQ(T80,T$44:T$88,1)+COUNTIF(T$44:T80,T80)-1)</f>
        <v/>
      </c>
      <c r="AH80" s="109" t="str">
        <f>IF(U80="","",_xlfn.RANK.EQ(U80,U$44:U$88,1)+COUNTIF(U$44:U80,U80)-1)</f>
        <v/>
      </c>
      <c r="AI80" s="109" t="str">
        <f>IF(V80="","",_xlfn.RANK.EQ(V80,V$44:V$88,1)+COUNTIF(V$44:V80,V80)-1)</f>
        <v/>
      </c>
      <c r="AJ80" s="109" t="str">
        <f>IF(W80="","",_xlfn.RANK.EQ(W80,W$44:W$88,1)+COUNTIF(W$44:W80,W80)-1)</f>
        <v/>
      </c>
      <c r="AK80" s="109" t="str">
        <f>IF(X80="","",_xlfn.RANK.EQ(X80,X$44:X$88,1)+COUNTIF(X$44:X80,X80)-1)</f>
        <v/>
      </c>
      <c r="AL80" s="109" t="str">
        <f>IF(Y80="","",_xlfn.RANK.EQ(Y80,Y$44:Y$88,1)+COUNTIF(Y$44:Y80,Y80)-1)</f>
        <v/>
      </c>
      <c r="AM80" s="109" t="str">
        <f>IF(Z80="","",_xlfn.RANK.EQ(Z80,Z$44:Z$88,1)+COUNTIF(Z$44:Z80,Z80)-1)</f>
        <v/>
      </c>
      <c r="AN80" s="109" t="str">
        <f>IF(AA80="","",_xlfn.RANK.EQ(AA80,AA$44:AA$88,1)+COUNTIF(AA$44:AA80,AA80)-1)</f>
        <v/>
      </c>
      <c r="AO80" s="109" t="str">
        <f>IF(AB80="","",_xlfn.RANK.EQ(AB80,AB$44:AB$88,1)+COUNTIF(AB$44:AB80,AB80)-1)</f>
        <v/>
      </c>
    </row>
    <row r="81" spans="2:41" ht="12.75" customHeight="1">
      <c r="B81" s="36" t="s">
        <v>166</v>
      </c>
      <c r="C81" s="37">
        <v>4</v>
      </c>
      <c r="D81" s="37" t="s">
        <v>53</v>
      </c>
      <c r="E81" s="37">
        <v>2</v>
      </c>
      <c r="F81" s="44">
        <v>3</v>
      </c>
      <c r="G81" s="72" t="s">
        <v>186</v>
      </c>
      <c r="H81" s="44" t="s">
        <v>52</v>
      </c>
      <c r="I81" s="37" t="s">
        <v>155</v>
      </c>
      <c r="J81" s="37" t="s">
        <v>65</v>
      </c>
      <c r="K81" s="37" t="s">
        <v>65</v>
      </c>
      <c r="L81" s="37" t="s">
        <v>65</v>
      </c>
      <c r="M81" s="37" t="s">
        <v>65</v>
      </c>
      <c r="N81" s="37" t="s">
        <v>65</v>
      </c>
      <c r="O81" s="160" t="s">
        <v>195</v>
      </c>
      <c r="P81" s="109" t="str">
        <f t="shared" si="55"/>
        <v/>
      </c>
      <c r="Q81" s="109" t="str">
        <f t="shared" si="55"/>
        <v/>
      </c>
      <c r="R81" s="109" t="str">
        <f t="shared" si="32"/>
        <v/>
      </c>
      <c r="S81" s="109">
        <f t="shared" si="33"/>
        <v>3</v>
      </c>
      <c r="T81" s="109">
        <f t="shared" si="34"/>
        <v>3</v>
      </c>
      <c r="U81" s="109">
        <f t="shared" si="35"/>
        <v>3</v>
      </c>
      <c r="V81" s="109">
        <f t="shared" si="36"/>
        <v>3</v>
      </c>
      <c r="W81" s="109">
        <f t="shared" si="37"/>
        <v>3</v>
      </c>
      <c r="X81" s="109" t="str">
        <f t="shared" si="38"/>
        <v/>
      </c>
      <c r="Y81" s="109" t="str">
        <f t="shared" si="39"/>
        <v/>
      </c>
      <c r="Z81" s="109" t="str">
        <f t="shared" si="40"/>
        <v/>
      </c>
      <c r="AA81" s="109" t="str">
        <f t="shared" si="41"/>
        <v/>
      </c>
      <c r="AB81" s="109" t="str">
        <f t="shared" si="42"/>
        <v/>
      </c>
      <c r="AC81" s="109" t="str">
        <f>IF(P81="","",_xlfn.RANK.EQ(P81,P$44:P$88,1)+COUNTIF(P$44:P81,P81)-1)</f>
        <v/>
      </c>
      <c r="AD81" s="109" t="str">
        <f>IF(Q81="","",_xlfn.RANK.EQ(Q81,Q$44:Q$88,1)+COUNTIF(Q$44:Q81,Q81)-1)</f>
        <v/>
      </c>
      <c r="AE81" s="138" t="str">
        <f>IF(R81="","",_xlfn.RANK.EQ(R81,R$44:R$88,1)+COUNTIF(R$44:R125,R81)-1)</f>
        <v/>
      </c>
      <c r="AF81" s="109">
        <f>IF(S81="","",_xlfn.RANK.EQ(S81,S$44:S$88,1)+COUNTIF(S$44:S81,S81)-1)</f>
        <v>5</v>
      </c>
      <c r="AG81" s="109">
        <f>IF(T81="","",_xlfn.RANK.EQ(T81,T$44:T$88,1)+COUNTIF(T$44:T81,T81)-1)</f>
        <v>5</v>
      </c>
      <c r="AH81" s="109">
        <f>IF(U81="","",_xlfn.RANK.EQ(U81,U$44:U$88,1)+COUNTIF(U$44:U81,U81)-1)</f>
        <v>5</v>
      </c>
      <c r="AI81" s="109">
        <f>IF(V81="","",_xlfn.RANK.EQ(V81,V$44:V$88,1)+COUNTIF(V$44:V81,V81)-1)</f>
        <v>5</v>
      </c>
      <c r="AJ81" s="109">
        <f>IF(W81="","",_xlfn.RANK.EQ(W81,W$44:W$88,1)+COUNTIF(W$44:W81,W81)-1)</f>
        <v>5</v>
      </c>
      <c r="AK81" s="109" t="str">
        <f>IF(X81="","",_xlfn.RANK.EQ(X81,X$44:X$88,1)+COUNTIF(X$44:X81,X81)-1)</f>
        <v/>
      </c>
      <c r="AL81" s="109" t="str">
        <f>IF(Y81="","",_xlfn.RANK.EQ(Y81,Y$44:Y$88,1)+COUNTIF(Y$44:Y81,Y81)-1)</f>
        <v/>
      </c>
      <c r="AM81" s="109" t="str">
        <f>IF(Z81="","",_xlfn.RANK.EQ(Z81,Z$44:Z$88,1)+COUNTIF(Z$44:Z81,Z81)-1)</f>
        <v/>
      </c>
      <c r="AN81" s="109" t="str">
        <f>IF(AA81="","",_xlfn.RANK.EQ(AA81,AA$44:AA$88,1)+COUNTIF(AA$44:AA81,AA81)-1)</f>
        <v/>
      </c>
      <c r="AO81" s="109" t="str">
        <f>IF(AB81="","",_xlfn.RANK.EQ(AB81,AB$44:AB$88,1)+COUNTIF(AB$44:AB81,AB81)-1)</f>
        <v/>
      </c>
    </row>
    <row r="82" spans="2:41" ht="12.75" customHeight="1">
      <c r="B82" s="36" t="s">
        <v>28</v>
      </c>
      <c r="C82" s="37">
        <v>4</v>
      </c>
      <c r="D82" s="37" t="s">
        <v>3</v>
      </c>
      <c r="E82" s="37">
        <v>2</v>
      </c>
      <c r="F82" s="44">
        <v>25</v>
      </c>
      <c r="G82" s="72" t="s">
        <v>185</v>
      </c>
      <c r="H82" s="44" t="s">
        <v>52</v>
      </c>
      <c r="I82" s="37" t="s">
        <v>63</v>
      </c>
      <c r="J82" s="37" t="s">
        <v>8</v>
      </c>
      <c r="K82" s="37" t="s">
        <v>8</v>
      </c>
      <c r="L82" s="37" t="s">
        <v>8</v>
      </c>
      <c r="M82" s="37" t="s">
        <v>8</v>
      </c>
      <c r="N82" s="37" t="s">
        <v>8</v>
      </c>
      <c r="O82" s="160"/>
      <c r="P82" s="109" t="str">
        <f t="shared" si="55"/>
        <v/>
      </c>
      <c r="Q82" s="109" t="str">
        <f t="shared" si="55"/>
        <v/>
      </c>
      <c r="R82" s="109" t="str">
        <f t="shared" si="32"/>
        <v/>
      </c>
      <c r="S82" s="109" t="str">
        <f t="shared" si="33"/>
        <v/>
      </c>
      <c r="T82" s="109" t="str">
        <f t="shared" si="34"/>
        <v/>
      </c>
      <c r="U82" s="109" t="str">
        <f t="shared" si="35"/>
        <v/>
      </c>
      <c r="V82" s="109" t="str">
        <f t="shared" si="36"/>
        <v/>
      </c>
      <c r="W82" s="109" t="str">
        <f t="shared" si="37"/>
        <v/>
      </c>
      <c r="X82" s="109">
        <f t="shared" si="38"/>
        <v>0.25</v>
      </c>
      <c r="Y82" s="109">
        <f t="shared" si="39"/>
        <v>0.25</v>
      </c>
      <c r="Z82" s="109">
        <f t="shared" si="40"/>
        <v>0.25</v>
      </c>
      <c r="AA82" s="109">
        <f t="shared" si="41"/>
        <v>0.25</v>
      </c>
      <c r="AB82" s="109">
        <f t="shared" si="42"/>
        <v>0.25</v>
      </c>
      <c r="AC82" s="109" t="str">
        <f>IF(P82="","",_xlfn.RANK.EQ(P82,P$44:P$88,1)+COUNTIF(P$44:P82,P82)-1)</f>
        <v/>
      </c>
      <c r="AD82" s="109" t="str">
        <f>IF(Q82="","",_xlfn.RANK.EQ(Q82,Q$44:Q$88,1)+COUNTIF(Q$44:Q82,Q82)-1)</f>
        <v/>
      </c>
      <c r="AE82" s="138" t="str">
        <f>IF(R82="","",_xlfn.RANK.EQ(R82,R$44:R$88,1)+COUNTIF(R$44:R126,R82)-1)</f>
        <v/>
      </c>
      <c r="AF82" s="109" t="str">
        <f>IF(S82="","",_xlfn.RANK.EQ(S82,S$44:S$88,1)+COUNTIF(S$44:S82,S82)-1)</f>
        <v/>
      </c>
      <c r="AG82" s="109" t="str">
        <f>IF(T82="","",_xlfn.RANK.EQ(T82,T$44:T$88,1)+COUNTIF(T$44:T82,T82)-1)</f>
        <v/>
      </c>
      <c r="AH82" s="109" t="str">
        <f>IF(U82="","",_xlfn.RANK.EQ(U82,U$44:U$88,1)+COUNTIF(U$44:U82,U82)-1)</f>
        <v/>
      </c>
      <c r="AI82" s="109" t="str">
        <f>IF(V82="","",_xlfn.RANK.EQ(V82,V$44:V$88,1)+COUNTIF(V$44:V82,V82)-1)</f>
        <v/>
      </c>
      <c r="AJ82" s="109" t="str">
        <f>IF(W82="","",_xlfn.RANK.EQ(W82,W$44:W$88,1)+COUNTIF(W$44:W82,W82)-1)</f>
        <v/>
      </c>
      <c r="AK82" s="109">
        <f>IF(X82="","",_xlfn.RANK.EQ(X82,X$44:X$88,1)+COUNTIF(X$44:X82,X82)-1)</f>
        <v>6</v>
      </c>
      <c r="AL82" s="109">
        <f>IF(Y82="","",_xlfn.RANK.EQ(Y82,Y$44:Y$88,1)+COUNTIF(Y$44:Y82,Y82)-1)</f>
        <v>6</v>
      </c>
      <c r="AM82" s="109">
        <f>IF(Z82="","",_xlfn.RANK.EQ(Z82,Z$44:Z$88,1)+COUNTIF(Z$44:Z82,Z82)-1)</f>
        <v>6</v>
      </c>
      <c r="AN82" s="109">
        <f>IF(AA82="","",_xlfn.RANK.EQ(AA82,AA$44:AA$88,1)+COUNTIF(AA$44:AA82,AA82)-1)</f>
        <v>6</v>
      </c>
      <c r="AO82" s="109">
        <f>IF(AB82="","",_xlfn.RANK.EQ(AB82,AB$44:AB$88,1)+COUNTIF(AB$44:AB82,AB82)-1)</f>
        <v>6</v>
      </c>
    </row>
    <row r="83" spans="2:41" ht="12.75" customHeight="1">
      <c r="B83" s="36" t="s">
        <v>28</v>
      </c>
      <c r="C83" s="37">
        <v>6</v>
      </c>
      <c r="D83" s="37" t="s">
        <v>3</v>
      </c>
      <c r="E83" s="37">
        <v>5</v>
      </c>
      <c r="F83" s="44">
        <v>5</v>
      </c>
      <c r="G83" s="43" t="s">
        <v>173</v>
      </c>
      <c r="H83" s="44" t="s">
        <v>52</v>
      </c>
      <c r="I83" s="37" t="s">
        <v>57</v>
      </c>
      <c r="J83" s="37" t="s">
        <v>43</v>
      </c>
      <c r="K83" s="37" t="s">
        <v>43</v>
      </c>
      <c r="L83" s="37" t="s">
        <v>43</v>
      </c>
      <c r="M83" s="37" t="s">
        <v>43</v>
      </c>
      <c r="N83" s="37" t="s">
        <v>43</v>
      </c>
      <c r="O83" s="38"/>
      <c r="P83" s="109">
        <f t="shared" si="55"/>
        <v>5</v>
      </c>
      <c r="Q83" s="109" t="str">
        <f t="shared" si="55"/>
        <v/>
      </c>
      <c r="R83" s="109" t="str">
        <f t="shared" si="32"/>
        <v/>
      </c>
      <c r="S83" s="109" t="str">
        <f t="shared" si="33"/>
        <v/>
      </c>
      <c r="T83" s="109" t="str">
        <f t="shared" si="34"/>
        <v/>
      </c>
      <c r="U83" s="109" t="str">
        <f t="shared" si="35"/>
        <v/>
      </c>
      <c r="V83" s="109" t="str">
        <f t="shared" si="36"/>
        <v/>
      </c>
      <c r="W83" s="109" t="str">
        <f t="shared" si="37"/>
        <v/>
      </c>
      <c r="X83" s="109" t="str">
        <f t="shared" si="38"/>
        <v/>
      </c>
      <c r="Y83" s="109" t="str">
        <f t="shared" si="39"/>
        <v/>
      </c>
      <c r="Z83" s="109" t="str">
        <f t="shared" si="40"/>
        <v/>
      </c>
      <c r="AA83" s="109" t="str">
        <f t="shared" si="41"/>
        <v/>
      </c>
      <c r="AB83" s="109" t="str">
        <f t="shared" si="42"/>
        <v/>
      </c>
      <c r="AC83" s="109">
        <f>IF(P83="","",_xlfn.RANK.EQ(P83,P$44:P$87,1)+COUNTIF(P$44:P83,P83)-1)</f>
        <v>4</v>
      </c>
      <c r="AD83" s="109" t="str">
        <f>IF(Q83="","",_xlfn.RANK.EQ(Q83,Q$44:Q$87,1)+COUNTIF(Q$44:Q83,Q83)-1)</f>
        <v/>
      </c>
      <c r="AE83" s="138" t="str">
        <f>IF(R83="","",_xlfn.RANK.EQ(R83,R$44:R$87,1)+COUNTIF(R$44:R119,R83)-1)</f>
        <v/>
      </c>
      <c r="AF83" s="109" t="str">
        <f>IF(S83="","",_xlfn.RANK.EQ(S83,S$44:S$87,1)+COUNTIF(S$44:S83,S83)-1)</f>
        <v/>
      </c>
      <c r="AG83" s="109" t="str">
        <f>IF(T83="","",_xlfn.RANK.EQ(T83,T$44:T$87,1)+COUNTIF(T$44:T83,T83)-1)</f>
        <v/>
      </c>
      <c r="AH83" s="109" t="str">
        <f>IF(U83="","",_xlfn.RANK.EQ(U83,U$44:U$87,1)+COUNTIF(U$44:U83,U83)-1)</f>
        <v/>
      </c>
      <c r="AI83" s="109" t="str">
        <f>IF(V83="","",_xlfn.RANK.EQ(V83,V$44:V$87,1)+COUNTIF(V$44:V83,V83)-1)</f>
        <v/>
      </c>
      <c r="AJ83" s="109" t="str">
        <f>IF(W83="","",_xlfn.RANK.EQ(W83,W$44:W$87,1)+COUNTIF(W$44:W83,W83)-1)</f>
        <v/>
      </c>
      <c r="AK83" s="109" t="str">
        <f>IF(X83="","",_xlfn.RANK.EQ(X83,X$44:X$87,1)+COUNTIF(X$44:X83,X83)-1)</f>
        <v/>
      </c>
      <c r="AL83" s="109" t="str">
        <f>IF(Y83="","",_xlfn.RANK.EQ(Y83,Y$44:Y$87,1)+COUNTIF(Y$44:Y83,Y83)-1)</f>
        <v/>
      </c>
      <c r="AM83" s="109" t="str">
        <f>IF(Z83="","",_xlfn.RANK.EQ(Z83,Z$44:Z$87,1)+COUNTIF(Z$44:Z83,Z83)-1)</f>
        <v/>
      </c>
      <c r="AN83" s="109" t="str">
        <f>IF(AA83="","",_xlfn.RANK.EQ(AA83,AA$44:AA$87,1)+COUNTIF(AA$44:AA83,AA83)-1)</f>
        <v/>
      </c>
      <c r="AO83" s="109" t="str">
        <f>IF(AB83="","",_xlfn.RANK.EQ(AB83,AB$44:AB$87,1)+COUNTIF(AB$44:AB83,AB83)-1)</f>
        <v/>
      </c>
    </row>
    <row r="84" spans="2:41" ht="12.75" customHeight="1">
      <c r="B84" s="36" t="s">
        <v>28</v>
      </c>
      <c r="C84" s="37">
        <v>6</v>
      </c>
      <c r="D84" s="37" t="s">
        <v>3</v>
      </c>
      <c r="E84" s="37">
        <v>5</v>
      </c>
      <c r="F84" s="44">
        <v>6</v>
      </c>
      <c r="G84" s="43" t="s">
        <v>196</v>
      </c>
      <c r="H84" s="44" t="s">
        <v>52</v>
      </c>
      <c r="I84" s="37" t="s">
        <v>63</v>
      </c>
      <c r="J84" s="37" t="s">
        <v>8</v>
      </c>
      <c r="K84" s="37" t="s">
        <v>8</v>
      </c>
      <c r="L84" s="37" t="s">
        <v>8</v>
      </c>
      <c r="M84" s="37" t="s">
        <v>8</v>
      </c>
      <c r="N84" s="37" t="s">
        <v>8</v>
      </c>
      <c r="O84" s="160"/>
      <c r="P84" s="109" t="str">
        <f t="shared" ref="P84:Q86" si="63">IF($I84=P$3,IF($F84&gt;14,$F84/100,$F84),"")</f>
        <v/>
      </c>
      <c r="Q84" s="109" t="str">
        <f t="shared" si="63"/>
        <v/>
      </c>
      <c r="R84" s="109" t="str">
        <f>IF($I84=R$3,$F84,"")</f>
        <v/>
      </c>
      <c r="S84" s="109" t="str">
        <f t="shared" ref="S84:W86" si="64">IF(J84="AM",IF($F84&gt;14,$F84/100,$F84),"")</f>
        <v/>
      </c>
      <c r="T84" s="109" t="str">
        <f t="shared" si="64"/>
        <v/>
      </c>
      <c r="U84" s="109" t="str">
        <f t="shared" si="64"/>
        <v/>
      </c>
      <c r="V84" s="109" t="str">
        <f t="shared" si="64"/>
        <v/>
      </c>
      <c r="W84" s="109" t="str">
        <f t="shared" si="64"/>
        <v/>
      </c>
      <c r="X84" s="109">
        <f t="shared" ref="X84:AB86" si="65">IF(J84="PM",IF($F84&gt;14,$F84/100,$F84),"")</f>
        <v>6</v>
      </c>
      <c r="Y84" s="109">
        <f t="shared" si="65"/>
        <v>6</v>
      </c>
      <c r="Z84" s="109">
        <f t="shared" si="65"/>
        <v>6</v>
      </c>
      <c r="AA84" s="109">
        <f t="shared" si="65"/>
        <v>6</v>
      </c>
      <c r="AB84" s="109">
        <f t="shared" si="65"/>
        <v>6</v>
      </c>
      <c r="AC84" s="109" t="str">
        <f>IF(P84="","",_xlfn.RANK.EQ(P84,P$44:P$88,1)+COUNTIF(P$44:P84,P84)-1)</f>
        <v/>
      </c>
      <c r="AD84" s="109" t="str">
        <f>IF(Q84="","",_xlfn.RANK.EQ(Q84,Q$44:Q$88,1)+COUNTIF(Q$44:Q84,Q84)-1)</f>
        <v/>
      </c>
      <c r="AE84" s="138" t="str">
        <f>IF(R84="","",_xlfn.RANK.EQ(R84,R$44:R$88,1)+COUNTIF(R$44:R126,R84)-1)</f>
        <v/>
      </c>
      <c r="AF84" s="109" t="str">
        <f>IF(S84="","",_xlfn.RANK.EQ(S84,S$44:S$88,1)+COUNTIF(S$44:S84,S84)-1)</f>
        <v/>
      </c>
      <c r="AG84" s="109" t="str">
        <f>IF(T84="","",_xlfn.RANK.EQ(T84,T$44:T$88,1)+COUNTIF(T$44:T84,T84)-1)</f>
        <v/>
      </c>
      <c r="AH84" s="109" t="str">
        <f>IF(U84="","",_xlfn.RANK.EQ(U84,U$44:U$88,1)+COUNTIF(U$44:U84,U84)-1)</f>
        <v/>
      </c>
      <c r="AI84" s="109" t="str">
        <f>IF(V84="","",_xlfn.RANK.EQ(V84,V$44:V$88,1)+COUNTIF(V$44:V84,V84)-1)</f>
        <v/>
      </c>
      <c r="AJ84" s="109" t="str">
        <f>IF(W84="","",_xlfn.RANK.EQ(W84,W$44:W$88,1)+COUNTIF(W$44:W84,W84)-1)</f>
        <v/>
      </c>
      <c r="AK84" s="109">
        <f>IF(X84="","",_xlfn.RANK.EQ(X84,X$44:X$88,1)+COUNTIF(X$44:X84,X84)-1)</f>
        <v>11</v>
      </c>
      <c r="AL84" s="109">
        <f>IF(Y84="","",_xlfn.RANK.EQ(Y84,Y$44:Y$88,1)+COUNTIF(Y$44:Y84,Y84)-1)</f>
        <v>11</v>
      </c>
      <c r="AM84" s="109">
        <f>IF(Z84="","",_xlfn.RANK.EQ(Z84,Z$44:Z$88,1)+COUNTIF(Z$44:Z84,Z84)-1)</f>
        <v>11</v>
      </c>
      <c r="AN84" s="109">
        <f>IF(AA84="","",_xlfn.RANK.EQ(AA84,AA$44:AA$88,1)+COUNTIF(AA$44:AA84,AA84)-1)</f>
        <v>11</v>
      </c>
      <c r="AO84" s="109">
        <f>IF(AB84="","",_xlfn.RANK.EQ(AB84,AB$44:AB$88,1)+COUNTIF(AB$44:AB84,AB84)-1)</f>
        <v>11</v>
      </c>
    </row>
    <row r="85" spans="2:41" ht="12.75" customHeight="1">
      <c r="B85" s="36" t="s">
        <v>28</v>
      </c>
      <c r="C85" s="37">
        <v>6</v>
      </c>
      <c r="D85" s="37" t="s">
        <v>3</v>
      </c>
      <c r="E85" s="37">
        <v>5</v>
      </c>
      <c r="F85" s="44">
        <v>8</v>
      </c>
      <c r="G85" s="161" t="s">
        <v>194</v>
      </c>
      <c r="H85" s="44" t="s">
        <v>67</v>
      </c>
      <c r="I85" s="37" t="s">
        <v>63</v>
      </c>
      <c r="J85" s="37" t="s">
        <v>65</v>
      </c>
      <c r="K85" s="37" t="s">
        <v>65</v>
      </c>
      <c r="L85" s="37" t="s">
        <v>65</v>
      </c>
      <c r="M85" s="37" t="s">
        <v>65</v>
      </c>
      <c r="N85" s="37" t="s">
        <v>65</v>
      </c>
      <c r="O85" s="160"/>
      <c r="P85" s="109" t="str">
        <f t="shared" si="63"/>
        <v/>
      </c>
      <c r="Q85" s="109" t="str">
        <f t="shared" si="63"/>
        <v/>
      </c>
      <c r="R85" s="109" t="str">
        <f>IF($I85=R$3,$F85,"")</f>
        <v/>
      </c>
      <c r="S85" s="109">
        <f t="shared" si="64"/>
        <v>8</v>
      </c>
      <c r="T85" s="109">
        <f t="shared" si="64"/>
        <v>8</v>
      </c>
      <c r="U85" s="109">
        <f t="shared" si="64"/>
        <v>8</v>
      </c>
      <c r="V85" s="109">
        <f t="shared" si="64"/>
        <v>8</v>
      </c>
      <c r="W85" s="109">
        <f t="shared" si="64"/>
        <v>8</v>
      </c>
      <c r="X85" s="109" t="str">
        <f t="shared" si="65"/>
        <v/>
      </c>
      <c r="Y85" s="109" t="str">
        <f t="shared" si="65"/>
        <v/>
      </c>
      <c r="Z85" s="109" t="str">
        <f t="shared" si="65"/>
        <v/>
      </c>
      <c r="AA85" s="109" t="str">
        <f t="shared" si="65"/>
        <v/>
      </c>
      <c r="AB85" s="109" t="str">
        <f t="shared" si="65"/>
        <v/>
      </c>
      <c r="AC85" s="109" t="str">
        <f>IF(P85="","",_xlfn.RANK.EQ(P85,P$44:P$88,1)+COUNTIF(P$44:P85,P85)-1)</f>
        <v/>
      </c>
      <c r="AD85" s="109" t="str">
        <f>IF(Q85="","",_xlfn.RANK.EQ(Q85,Q$44:Q$88,1)+COUNTIF(Q$44:Q85,Q85)-1)</f>
        <v/>
      </c>
      <c r="AE85" s="138" t="str">
        <f>IF(R85="","",_xlfn.RANK.EQ(R85,R$44:R$88,1)+COUNTIF(R$44:R128,R85)-1)</f>
        <v/>
      </c>
      <c r="AF85" s="109">
        <f>IF(S85="","",_xlfn.RANK.EQ(S85,S$44:S$88,1)+COUNTIF(S$44:S85,S85)-1)</f>
        <v>7</v>
      </c>
      <c r="AG85" s="109">
        <f>IF(T85="","",_xlfn.RANK.EQ(T85,T$44:T$88,1)+COUNTIF(T$44:T85,T85)-1)</f>
        <v>7</v>
      </c>
      <c r="AH85" s="109">
        <f>IF(U85="","",_xlfn.RANK.EQ(U85,U$44:U$88,1)+COUNTIF(U$44:U85,U85)-1)</f>
        <v>7</v>
      </c>
      <c r="AI85" s="109">
        <f>IF(V85="","",_xlfn.RANK.EQ(V85,V$44:V$88,1)+COUNTIF(V$44:V85,V85)-1)</f>
        <v>7</v>
      </c>
      <c r="AJ85" s="109">
        <f>IF(W85="","",_xlfn.RANK.EQ(W85,W$44:W$88,1)+COUNTIF(W$44:W85,W85)-1)</f>
        <v>7</v>
      </c>
      <c r="AK85" s="109" t="str">
        <f>IF(X85="","",_xlfn.RANK.EQ(X85,X$44:X$88,1)+COUNTIF(X$44:X85,X85)-1)</f>
        <v/>
      </c>
      <c r="AL85" s="109" t="str">
        <f>IF(Y85="","",_xlfn.RANK.EQ(Y85,Y$44:Y$88,1)+COUNTIF(Y$44:Y85,Y85)-1)</f>
        <v/>
      </c>
      <c r="AM85" s="109" t="str">
        <f>IF(Z85="","",_xlfn.RANK.EQ(Z85,Z$44:Z$88,1)+COUNTIF(Z$44:Z85,Z85)-1)</f>
        <v/>
      </c>
      <c r="AN85" s="109" t="str">
        <f>IF(AA85="","",_xlfn.RANK.EQ(AA85,AA$44:AA$88,1)+COUNTIF(AA$44:AA85,AA85)-1)</f>
        <v/>
      </c>
      <c r="AO85" s="109" t="str">
        <f>IF(AB85="","",_xlfn.RANK.EQ(AB85,AB$44:AB$88,1)+COUNTIF(AB$44:AB85,AB85)-1)</f>
        <v/>
      </c>
    </row>
    <row r="86" spans="2:41" ht="12.75" customHeight="1">
      <c r="B86" s="37" t="s">
        <v>28</v>
      </c>
      <c r="C86" s="37">
        <v>2</v>
      </c>
      <c r="D86" s="37" t="s">
        <v>53</v>
      </c>
      <c r="E86" s="37">
        <v>22</v>
      </c>
      <c r="F86" s="44">
        <v>12</v>
      </c>
      <c r="G86" s="72" t="s">
        <v>182</v>
      </c>
      <c r="H86" s="44" t="s">
        <v>52</v>
      </c>
      <c r="I86" s="37" t="s">
        <v>183</v>
      </c>
      <c r="J86" s="37" t="s">
        <v>8</v>
      </c>
      <c r="K86" s="37"/>
      <c r="L86" s="37" t="s">
        <v>8</v>
      </c>
      <c r="M86" s="37"/>
      <c r="N86" s="37" t="s">
        <v>8</v>
      </c>
      <c r="O86" s="160" t="s">
        <v>195</v>
      </c>
      <c r="P86" s="109" t="str">
        <f t="shared" si="63"/>
        <v/>
      </c>
      <c r="Q86" s="109" t="str">
        <f t="shared" si="63"/>
        <v/>
      </c>
      <c r="R86" s="109" t="str">
        <f>IF($I86=R$3,$F86,"")</f>
        <v/>
      </c>
      <c r="S86" s="109" t="str">
        <f t="shared" si="64"/>
        <v/>
      </c>
      <c r="T86" s="109" t="str">
        <f t="shared" si="64"/>
        <v/>
      </c>
      <c r="U86" s="109" t="str">
        <f t="shared" si="64"/>
        <v/>
      </c>
      <c r="V86" s="109" t="str">
        <f t="shared" si="64"/>
        <v/>
      </c>
      <c r="W86" s="109" t="str">
        <f t="shared" si="64"/>
        <v/>
      </c>
      <c r="X86" s="109">
        <f t="shared" si="65"/>
        <v>12</v>
      </c>
      <c r="Y86" s="109" t="str">
        <f t="shared" si="65"/>
        <v/>
      </c>
      <c r="Z86" s="109">
        <f t="shared" si="65"/>
        <v>12</v>
      </c>
      <c r="AA86" s="109" t="str">
        <f t="shared" si="65"/>
        <v/>
      </c>
      <c r="AB86" s="109">
        <f t="shared" si="65"/>
        <v>12</v>
      </c>
      <c r="AC86" s="109" t="str">
        <f>IF(P86="","",_xlfn.RANK.EQ(P86,P$44:P$88,1)+COUNTIF(P$44:P86,P86)-1)</f>
        <v/>
      </c>
      <c r="AD86" s="109" t="str">
        <f>IF(Q86="","",_xlfn.RANK.EQ(Q86,Q$44:Q$88,1)+COUNTIF(Q$44:Q86,Q86)-1)</f>
        <v/>
      </c>
      <c r="AE86" s="138" t="str">
        <f>IF(R86="","",_xlfn.RANK.EQ(R86,R$44:R$88,1)+COUNTIF(R$44:R129,R86)-1)</f>
        <v/>
      </c>
      <c r="AF86" s="109" t="str">
        <f>IF(S86="","",_xlfn.RANK.EQ(S86,S$44:S$88,1)+COUNTIF(S$44:S86,S86)-1)</f>
        <v/>
      </c>
      <c r="AG86" s="109" t="str">
        <f>IF(T86="","",_xlfn.RANK.EQ(T86,T$44:T$88,1)+COUNTIF(T$44:T86,T86)-1)</f>
        <v/>
      </c>
      <c r="AH86" s="109" t="str">
        <f>IF(U86="","",_xlfn.RANK.EQ(U86,U$44:U$88,1)+COUNTIF(U$44:U86,U86)-1)</f>
        <v/>
      </c>
      <c r="AI86" s="109" t="str">
        <f>IF(V86="","",_xlfn.RANK.EQ(V86,V$44:V$88,1)+COUNTIF(V$44:V86,V86)-1)</f>
        <v/>
      </c>
      <c r="AJ86" s="109" t="str">
        <f>IF(W86="","",_xlfn.RANK.EQ(W86,W$44:W$88,1)+COUNTIF(W$44:W86,W86)-1)</f>
        <v/>
      </c>
      <c r="AK86" s="109">
        <f>IF(X86="","",_xlfn.RANK.EQ(X86,X$44:X$88,1)+COUNTIF(X$44:X86,X86)-1)</f>
        <v>16</v>
      </c>
      <c r="AL86" s="109" t="str">
        <f>IF(Y86="","",_xlfn.RANK.EQ(Y86,Y$44:Y$88,1)+COUNTIF(Y$44:Y86,Y86)-1)</f>
        <v/>
      </c>
      <c r="AM86" s="109">
        <f>IF(Z86="","",_xlfn.RANK.EQ(Z86,Z$44:Z$88,1)+COUNTIF(Z$44:Z86,Z86)-1)</f>
        <v>16</v>
      </c>
      <c r="AN86" s="109" t="str">
        <f>IF(AA86="","",_xlfn.RANK.EQ(AA86,AA$44:AA$88,1)+COUNTIF(AA$44:AA86,AA86)-1)</f>
        <v/>
      </c>
      <c r="AO86" s="109">
        <f>IF(AB86="","",_xlfn.RANK.EQ(AB86,AB$44:AB$88,1)+COUNTIF(AB$44:AB86,AB86)-1)</f>
        <v>16</v>
      </c>
    </row>
    <row r="87" spans="2:41" ht="12.75" customHeight="1">
      <c r="B87" s="37" t="s">
        <v>28</v>
      </c>
      <c r="C87" s="37">
        <v>2</v>
      </c>
      <c r="D87" s="37" t="s">
        <v>53</v>
      </c>
      <c r="E87" s="37">
        <v>22</v>
      </c>
      <c r="F87" s="37">
        <v>22</v>
      </c>
      <c r="G87" s="164" t="s">
        <v>164</v>
      </c>
      <c r="H87" s="37" t="s">
        <v>52</v>
      </c>
      <c r="I87" s="37" t="s">
        <v>63</v>
      </c>
      <c r="J87" s="37" t="s">
        <v>65</v>
      </c>
      <c r="K87" s="37" t="s">
        <v>65</v>
      </c>
      <c r="L87" s="37" t="s">
        <v>65</v>
      </c>
      <c r="M87" s="37" t="s">
        <v>65</v>
      </c>
      <c r="N87" s="37" t="s">
        <v>65</v>
      </c>
      <c r="O87" s="38"/>
      <c r="P87" s="109" t="str">
        <f t="shared" si="55"/>
        <v/>
      </c>
      <c r="Q87" s="109" t="str">
        <f t="shared" si="55"/>
        <v/>
      </c>
      <c r="R87" s="109" t="str">
        <f t="shared" si="32"/>
        <v/>
      </c>
      <c r="S87" s="109">
        <f t="shared" si="33"/>
        <v>0.22</v>
      </c>
      <c r="T87" s="109">
        <f t="shared" si="34"/>
        <v>0.22</v>
      </c>
      <c r="U87" s="109">
        <f t="shared" si="35"/>
        <v>0.22</v>
      </c>
      <c r="V87" s="109">
        <f t="shared" si="36"/>
        <v>0.22</v>
      </c>
      <c r="W87" s="109">
        <f t="shared" si="37"/>
        <v>0.22</v>
      </c>
      <c r="X87" s="109" t="str">
        <f t="shared" si="38"/>
        <v/>
      </c>
      <c r="Y87" s="109" t="str">
        <f t="shared" si="39"/>
        <v/>
      </c>
      <c r="Z87" s="109" t="str">
        <f t="shared" si="40"/>
        <v/>
      </c>
      <c r="AA87" s="109" t="str">
        <f t="shared" si="41"/>
        <v/>
      </c>
      <c r="AB87" s="109" t="str">
        <f t="shared" si="42"/>
        <v/>
      </c>
      <c r="AC87" s="139" t="str">
        <f>IF(P87="","",_xlfn.RANK.EQ(P87,P$44:P$88,1)+COUNTIF(P$44:P87,P87)-1)</f>
        <v/>
      </c>
      <c r="AD87" s="139" t="str">
        <f>IF(Q87="","",_xlfn.RANK.EQ(Q87,Q$44:Q$88,1)+COUNTIF(Q$44:Q87,Q87)-1)</f>
        <v/>
      </c>
      <c r="AE87" s="138" t="str">
        <f>IF(R87="","",_xlfn.RANK.EQ(R87,R$44:R$88,1)+COUNTIF(R$44:R125,R87)-1)</f>
        <v/>
      </c>
      <c r="AF87" s="139">
        <f>IF(S87="","",_xlfn.RANK.EQ(S87,S$44:S$88,1)+COUNTIF(S$44:S87,S87)-1)</f>
        <v>1</v>
      </c>
      <c r="AG87" s="139">
        <f>IF(T87="","",_xlfn.RANK.EQ(T87,T$44:T$88,1)+COUNTIF(T$44:T87,T87)-1)</f>
        <v>1</v>
      </c>
      <c r="AH87" s="139">
        <f>IF(U87="","",_xlfn.RANK.EQ(U87,U$44:U$88,1)+COUNTIF(U$44:U87,U87)-1)</f>
        <v>1</v>
      </c>
      <c r="AI87" s="139">
        <f>IF(V87="","",_xlfn.RANK.EQ(V87,V$44:V$88,1)+COUNTIF(V$44:V87,V87)-1)</f>
        <v>1</v>
      </c>
      <c r="AJ87" s="139">
        <f>IF(W87="","",_xlfn.RANK.EQ(W87,W$44:W$88,1)+COUNTIF(W$44:W87,W87)-1)</f>
        <v>1</v>
      </c>
      <c r="AK87" s="139" t="str">
        <f>IF(X87="","",_xlfn.RANK.EQ(X87,X$44:X$88,1)+COUNTIF(X$44:X87,X87)-1)</f>
        <v/>
      </c>
      <c r="AL87" s="139" t="str">
        <f>IF(Y87="","",_xlfn.RANK.EQ(Y87,Y$44:Y$88,1)+COUNTIF(Y$44:Y87,Y87)-1)</f>
        <v/>
      </c>
      <c r="AM87" s="139" t="str">
        <f>IF(Z87="","",_xlfn.RANK.EQ(Z87,Z$44:Z$88,1)+COUNTIF(Z$44:Z87,Z87)-1)</f>
        <v/>
      </c>
      <c r="AN87" s="139" t="str">
        <f>IF(AA87="","",_xlfn.RANK.EQ(AA87,AA$44:AA$88,1)+COUNTIF(AA$44:AA87,AA87)-1)</f>
        <v/>
      </c>
      <c r="AO87" s="139" t="str">
        <f>IF(AB87="","",_xlfn.RANK.EQ(AB87,AB$44:AB$88,1)+COUNTIF(AB$44:AB87,AB87)-1)</f>
        <v/>
      </c>
    </row>
  </sheetData>
  <mergeCells count="13">
    <mergeCell ref="AK2:AO2"/>
    <mergeCell ref="J2:N2"/>
    <mergeCell ref="P2:R2"/>
    <mergeCell ref="S2:W2"/>
    <mergeCell ref="X2:AB2"/>
    <mergeCell ref="AF2:AJ2"/>
    <mergeCell ref="AC2:AE2"/>
    <mergeCell ref="AK42:AO42"/>
    <mergeCell ref="P42:R42"/>
    <mergeCell ref="S42:W42"/>
    <mergeCell ref="X42:AB42"/>
    <mergeCell ref="AC42:AE42"/>
    <mergeCell ref="AF42:AJ42"/>
  </mergeCells>
  <phoneticPr fontId="1"/>
  <conditionalFormatting sqref="F4:F19 F24:F40 F44:F87">
    <cfRule type="expression" dxfId="11" priority="441">
      <formula>$F4&lt;&gt;$E4</formula>
    </cfRule>
  </conditionalFormatting>
  <conditionalFormatting sqref="H4:H40 H44:H87">
    <cfRule type="cellIs" dxfId="10" priority="267" operator="equal">
      <formula>"共用"</formula>
    </cfRule>
    <cfRule type="cellIs" dxfId="9" priority="268" operator="equal">
      <formula>"専用"</formula>
    </cfRule>
  </conditionalFormatting>
  <conditionalFormatting sqref="I4:N7 I8:I9 I10:N39 J40:N40 I41 I44:N87">
    <cfRule type="cellIs" dxfId="8" priority="211" operator="equal">
      <formula>"PM"</formula>
    </cfRule>
    <cfRule type="cellIs" dxfId="7" priority="212" operator="equal">
      <formula>"昼"</formula>
    </cfRule>
    <cfRule type="cellIs" dxfId="6" priority="213" operator="equal">
      <formula>"AM"</formula>
    </cfRule>
    <cfRule type="cellIs" dxfId="5" priority="214" operator="equal">
      <formula>"三食"</formula>
    </cfRule>
  </conditionalFormatting>
  <conditionalFormatting sqref="I4:N39 I44:N87">
    <cfRule type="cellIs" dxfId="4" priority="69" operator="equal">
      <formula>"夜"</formula>
    </cfRule>
  </conditionalFormatting>
  <conditionalFormatting sqref="J8:N9">
    <cfRule type="cellIs" dxfId="3" priority="40" operator="equal">
      <formula>"PM"</formula>
    </cfRule>
    <cfRule type="cellIs" dxfId="2" priority="41" operator="equal">
      <formula>"昼"</formula>
    </cfRule>
    <cfRule type="cellIs" dxfId="1" priority="42" operator="equal">
      <formula>"AM"</formula>
    </cfRule>
    <cfRule type="cellIs" dxfId="0" priority="43" operator="equal">
      <formula>"三食"</formula>
    </cfRule>
  </conditionalFormatting>
  <dataValidations count="2">
    <dataValidation type="list" allowBlank="1" showInputMessage="1" showErrorMessage="1" sqref="J44:N87 J4:N40" xr:uid="{335F2814-4505-4870-BE28-E151238867A4}">
      <formula1>"三食,AM,昼,PM,夜"</formula1>
    </dataValidation>
    <dataValidation type="list" allowBlank="1" showInputMessage="1" showErrorMessage="1" sqref="H44:H87 H4:H40" xr:uid="{D1C62D61-5F66-4B73-AFC7-2ABACA626B82}">
      <formula1>"共用,専用"</formula1>
    </dataValidation>
  </dataValidations>
  <printOptions horizontalCentered="1" verticalCentered="1"/>
  <pageMargins left="0.23622047244094491" right="0.23622047244094491" top="0.35433070866141736" bottom="0.35433070866141736" header="0.31496062992125984" footer="0.31496062992125984"/>
  <pageSetup paperSize="9" scale="81" orientation="landscape" r:id="rId1"/>
  <rowBreaks count="1" manualBreakCount="1">
    <brk id="40" max="14" man="1"/>
  </rowBreaks>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2B969-145C-423D-94E0-15928FB144FA}">
  <dimension ref="A1"/>
  <sheetViews>
    <sheetView workbookViewId="0">
      <selection sqref="A1:R109"/>
    </sheetView>
  </sheetViews>
  <sheetFormatPr defaultRowHeight="18.75"/>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6806-17EE-4D80-931C-096A77A5BA0C}">
  <sheetPr>
    <pageSetUpPr fitToPage="1"/>
  </sheetPr>
  <dimension ref="A1:Q136"/>
  <sheetViews>
    <sheetView zoomScaleNormal="100" workbookViewId="0"/>
  </sheetViews>
  <sheetFormatPr defaultRowHeight="15.95" customHeight="1"/>
  <cols>
    <col min="1" max="2" width="6.625" style="76" customWidth="1"/>
    <col min="3" max="3" width="18.625" style="76" customWidth="1"/>
    <col min="4" max="4" width="4.125" style="76" bestFit="1" customWidth="1"/>
    <col min="5" max="5" width="6.625" style="76" customWidth="1"/>
    <col min="6" max="6" width="1.625" style="76" customWidth="1"/>
    <col min="7" max="8" width="6.625" style="76" customWidth="1"/>
    <col min="9" max="9" width="18.625" style="76" customWidth="1"/>
    <col min="10" max="10" width="4.125" style="76" bestFit="1" customWidth="1"/>
    <col min="11" max="11" width="6.625" style="76" customWidth="1"/>
    <col min="12" max="12" width="1.625" style="76" customWidth="1"/>
    <col min="13" max="14" width="6.625" style="76" customWidth="1"/>
    <col min="15" max="15" width="18.625" style="76" customWidth="1"/>
    <col min="16" max="16" width="4.125" style="76" bestFit="1" customWidth="1"/>
    <col min="17" max="17" width="6.625" style="76" customWidth="1"/>
    <col min="18" max="16384" width="9" style="1"/>
  </cols>
  <sheetData>
    <row r="1" spans="1:17" ht="15.95" customHeight="1">
      <c r="A1" s="110"/>
      <c r="B1" s="110"/>
      <c r="C1" s="110"/>
      <c r="D1" s="110"/>
      <c r="E1" s="110"/>
      <c r="F1" s="110"/>
      <c r="G1" s="192" t="s">
        <v>40</v>
      </c>
      <c r="H1" s="192"/>
      <c r="I1" s="192"/>
      <c r="J1" s="192"/>
      <c r="K1" s="192"/>
      <c r="L1" s="110"/>
      <c r="M1" s="110"/>
      <c r="N1" s="110"/>
      <c r="O1" s="110"/>
      <c r="P1" s="110"/>
      <c r="Q1" s="110"/>
    </row>
    <row r="2" spans="1:17" ht="15.95" customHeight="1" thickBot="1">
      <c r="A2" s="193" t="s">
        <v>50</v>
      </c>
      <c r="B2" s="193"/>
      <c r="C2" s="193"/>
      <c r="D2" s="193"/>
      <c r="E2" s="193"/>
      <c r="F2" s="110"/>
      <c r="G2" s="192"/>
      <c r="H2" s="192"/>
      <c r="I2" s="192"/>
      <c r="J2" s="192"/>
      <c r="K2" s="192"/>
      <c r="L2" s="110"/>
      <c r="M2" s="194">
        <f>報告用!$O$2</f>
        <v>46106</v>
      </c>
      <c r="N2" s="194"/>
      <c r="O2" s="194"/>
      <c r="P2" s="194"/>
      <c r="Q2" s="194"/>
    </row>
    <row r="3" spans="1:17" ht="15.95" customHeight="1">
      <c r="A3" s="186" t="s">
        <v>31</v>
      </c>
      <c r="B3" s="182" t="s">
        <v>36</v>
      </c>
      <c r="C3" s="182"/>
      <c r="D3" s="182"/>
      <c r="E3" s="183"/>
      <c r="F3" s="110"/>
      <c r="G3" s="186" t="s">
        <v>31</v>
      </c>
      <c r="H3" s="182" t="s">
        <v>9</v>
      </c>
      <c r="I3" s="182"/>
      <c r="J3" s="182"/>
      <c r="K3" s="183"/>
      <c r="L3" s="111"/>
      <c r="M3" s="186" t="s">
        <v>31</v>
      </c>
      <c r="N3" s="182" t="s">
        <v>10</v>
      </c>
      <c r="O3" s="182"/>
      <c r="P3" s="182"/>
      <c r="Q3" s="183"/>
    </row>
    <row r="4" spans="1:17" ht="15.95" customHeight="1" thickBot="1">
      <c r="A4" s="187"/>
      <c r="B4" s="112" t="s">
        <v>18</v>
      </c>
      <c r="C4" s="184" t="s">
        <v>17</v>
      </c>
      <c r="D4" s="185"/>
      <c r="E4" s="114" t="s">
        <v>30</v>
      </c>
      <c r="F4" s="110"/>
      <c r="G4" s="188"/>
      <c r="H4" s="177" t="s">
        <v>18</v>
      </c>
      <c r="I4" s="195" t="s">
        <v>17</v>
      </c>
      <c r="J4" s="196"/>
      <c r="K4" s="178" t="s">
        <v>30</v>
      </c>
      <c r="L4" s="111"/>
      <c r="M4" s="187"/>
      <c r="N4" s="112" t="s">
        <v>18</v>
      </c>
      <c r="O4" s="184" t="s">
        <v>17</v>
      </c>
      <c r="P4" s="185"/>
      <c r="Q4" s="114" t="s">
        <v>30</v>
      </c>
    </row>
    <row r="5" spans="1:17" ht="15.95" customHeight="1" thickTop="1">
      <c r="A5" s="201" t="s">
        <v>32</v>
      </c>
      <c r="B5" s="115">
        <f>_xlfn.XLOOKUP(ROW(B5)+1-ROW(B$5),報告用!$AC$4:$AC$39,報告用!F$4:F$39,"",FALSE)</f>
        <v>18</v>
      </c>
      <c r="C5" s="121" t="str">
        <f>_xlfn.XLOOKUP(ROW(C5)+1-ROW(C$5),報告用!$AC$4:$AC$39,報告用!G$4:G$39,"",FALSE)</f>
        <v>吉井　用子</v>
      </c>
      <c r="D5" s="122" t="str">
        <f>IF(C5="","","様")</f>
        <v>様</v>
      </c>
      <c r="E5" s="116" t="str">
        <f>IF(_xlfn.XLOOKUP(ROW(E5)+1-ROW(E$5),報告用!$AC$4:$AC$39,報告用!E$4:E$39,"",FALSE)=B5,"",_xlfn.XLOOKUP(ROW(E5)+1-ROW(E$5),報告用!$AC$4:$AC$39,報告用!E$4:E$39,"",FALSE))</f>
        <v/>
      </c>
      <c r="F5" s="110"/>
      <c r="G5" s="188" t="s">
        <v>35</v>
      </c>
      <c r="H5" s="117">
        <f>_xlfn.XLOOKUP(ROW(H5)+1-ROW(H$5),報告用!$AF$4:$AF$39,報告用!$F$4:$F$39,"",FALSE)</f>
        <v>15</v>
      </c>
      <c r="I5" s="129" t="str">
        <f>_xlfn.XLOOKUP(ROW(I5)+1-ROW(I$5),報告用!$AF$4:$AF$39,報告用!$G$4:$G$39,"",FALSE)</f>
        <v>志村とも子</v>
      </c>
      <c r="J5" s="130" t="str">
        <f>IF(I5="","","様")</f>
        <v>様</v>
      </c>
      <c r="K5" s="118" t="str">
        <f>IF(_xlfn.XLOOKUP(ROW(K5)+1-ROW(K$5),報告用!$AF$4:$AF$39,報告用!$E$4:$E$39,"",FALSE)=H5,"",_xlfn.XLOOKUP(ROW(K5)+1-ROW(K$5),報告用!$AF$4:$AF$39,報告用!$E$4:$E$39,"",FALSE))</f>
        <v/>
      </c>
      <c r="L5" s="111"/>
      <c r="M5" s="188" t="s">
        <v>35</v>
      </c>
      <c r="N5" s="117">
        <f>_xlfn.XLOOKUP(ROW(N5)+1-ROW(N$5),報告用!$AG$4:$AG$39,報告用!$F$4:$F$39,"",FALSE)</f>
        <v>15</v>
      </c>
      <c r="O5" s="129" t="str">
        <f>_xlfn.XLOOKUP(ROW(O5)+1-ROW(O$5),報告用!$AG$4:$AG$39,報告用!$G$4:$G$39,"",FALSE)</f>
        <v>志村とも子</v>
      </c>
      <c r="P5" s="130" t="str">
        <f>IF(O5="","","様")</f>
        <v>様</v>
      </c>
      <c r="Q5" s="118" t="str">
        <f>IF(_xlfn.XLOOKUP(ROW(Q5)+1-ROW(Q$5),報告用!$AG$4:$AG$39,報告用!$E$4:$E$39,"",FALSE)=N5,"",_xlfn.XLOOKUP(ROW(Q5)+1-ROW(Q$5),報告用!$AG$4:$AG$39,報告用!$E$4:$E$39,"",FALSE))</f>
        <v/>
      </c>
    </row>
    <row r="6" spans="1:17" ht="15.95" customHeight="1">
      <c r="A6" s="180"/>
      <c r="B6" s="117">
        <f>_xlfn.XLOOKUP(ROW(B6)+1-ROW(B$5),報告用!$AC$4:$AC$39,報告用!F$4:F$39,"",FALSE)</f>
        <v>20</v>
      </c>
      <c r="C6" s="150" t="str">
        <f>_xlfn.XLOOKUP(ROW(C6)+1-ROW(C$5),報告用!$AC$4:$AC$39,報告用!G$4:G$39,"",FALSE)</f>
        <v>★上條　礼子</v>
      </c>
      <c r="D6" s="130" t="str">
        <f t="shared" ref="D6:D21" si="0">IF(C6="","","様")</f>
        <v>様</v>
      </c>
      <c r="E6" s="118" t="str">
        <f>IF(_xlfn.XLOOKUP(ROW(E6)+1-ROW(E$5),報告用!$AC$4:$AC$39,報告用!E$4:E$39,"",FALSE)=B6,"",_xlfn.XLOOKUP(ROW(E6)+1-ROW(E$5),報告用!$AC$4:$AC$39,報告用!E$4:E$39,"",FALSE))</f>
        <v/>
      </c>
      <c r="F6" s="110"/>
      <c r="G6" s="189"/>
      <c r="H6" s="119">
        <f>_xlfn.XLOOKUP(ROW(H6)+1-ROW(H$5),報告用!$AF$4:$AF$39,報告用!$F$4:$F$39,"",FALSE)</f>
        <v>15</v>
      </c>
      <c r="I6" s="123" t="str">
        <f>_xlfn.XLOOKUP(ROW(I6)+1-ROW(I$5),報告用!$AF$4:$AF$39,報告用!$G$4:$G$39,"",FALSE)</f>
        <v>飯室　純江</v>
      </c>
      <c r="J6" s="124" t="str">
        <f t="shared" ref="J6:J17" si="1">IF(I6="","","様")</f>
        <v>様</v>
      </c>
      <c r="K6" s="120" t="str">
        <f>IF(_xlfn.XLOOKUP(ROW(K6)+1-ROW(K$5),報告用!$AF$4:$AF$39,報告用!$E$4:$E$39,"",FALSE)=H6,"",_xlfn.XLOOKUP(ROW(K6)+1-ROW(K$5),報告用!$AF$4:$AF$39,報告用!$E$4:$E$39,"",FALSE))</f>
        <v/>
      </c>
      <c r="L6" s="111"/>
      <c r="M6" s="189"/>
      <c r="N6" s="119">
        <f>_xlfn.XLOOKUP(ROW(N6)+1-ROW(N$5),報告用!$AG$4:$AG$39,報告用!$F$4:$F$39,"",FALSE)</f>
        <v>15</v>
      </c>
      <c r="O6" s="123" t="str">
        <f>_xlfn.XLOOKUP(ROW(O6)+1-ROW(O$5),報告用!$AG$4:$AG$39,報告用!$G$4:$G$39,"",FALSE)</f>
        <v>望月　美希</v>
      </c>
      <c r="P6" s="124" t="str">
        <f t="shared" ref="P6:P17" si="2">IF(O6="","","様")</f>
        <v>様</v>
      </c>
      <c r="Q6" s="120" t="str">
        <f>IF(_xlfn.XLOOKUP(ROW(Q6)+1-ROW(Q$5),報告用!$AG$4:$AG$39,報告用!$E$4:$E$39,"",FALSE)=N6,"",_xlfn.XLOOKUP(ROW(Q6)+1-ROW(Q$5),報告用!$AG$4:$AG$39,報告用!$E$4:$E$39,"",FALSE))</f>
        <v/>
      </c>
    </row>
    <row r="7" spans="1:17" ht="15.95" customHeight="1">
      <c r="A7" s="180"/>
      <c r="B7" s="117" t="str">
        <f>_xlfn.XLOOKUP(ROW(B7)+1-ROW(B$5),報告用!$AC$4:$AC$39,報告用!F$4:F$39,"",FALSE)</f>
        <v/>
      </c>
      <c r="C7" s="129" t="str">
        <f>_xlfn.XLOOKUP(ROW(C7)+1-ROW(C$5),報告用!$AC$4:$AC$39,報告用!G$4:G$39,"",FALSE)</f>
        <v/>
      </c>
      <c r="D7" s="130" t="str">
        <f t="shared" si="0"/>
        <v/>
      </c>
      <c r="E7" s="118" t="str">
        <f>IF(_xlfn.XLOOKUP(ROW(E7)+1-ROW(E$5),報告用!$AC$4:$AC$39,報告用!E$4:E$39,"",FALSE)=B7,"",_xlfn.XLOOKUP(ROW(E7)+1-ROW(E$5),報告用!$AC$4:$AC$39,報告用!E$4:E$39,"",FALSE))</f>
        <v/>
      </c>
      <c r="F7" s="110"/>
      <c r="G7" s="189"/>
      <c r="H7" s="119">
        <f>_xlfn.XLOOKUP(ROW(H7)+1-ROW(H$5),報告用!$AF$4:$AF$39,報告用!$F$4:$F$39,"",FALSE)</f>
        <v>16</v>
      </c>
      <c r="I7" s="123" t="str">
        <f>_xlfn.XLOOKUP(ROW(I7)+1-ROW(I$5),報告用!$AF$4:$AF$39,報告用!$G$4:$G$39,"",FALSE)</f>
        <v>里吉　松子</v>
      </c>
      <c r="J7" s="124" t="str">
        <f t="shared" si="1"/>
        <v>様</v>
      </c>
      <c r="K7" s="120" t="str">
        <f>IF(_xlfn.XLOOKUP(ROW(K7)+1-ROW(K$5),報告用!$AF$4:$AF$39,報告用!$E$4:$E$39,"",FALSE)=H7,"",_xlfn.XLOOKUP(ROW(K7)+1-ROW(K$5),報告用!$AF$4:$AF$39,報告用!$E$4:$E$39,"",FALSE))</f>
        <v/>
      </c>
      <c r="L7" s="111"/>
      <c r="M7" s="189"/>
      <c r="N7" s="119">
        <f>_xlfn.XLOOKUP(ROW(N7)+1-ROW(N$5),報告用!$AG$4:$AG$39,報告用!$F$4:$F$39,"",FALSE)</f>
        <v>16</v>
      </c>
      <c r="O7" s="123" t="str">
        <f>_xlfn.XLOOKUP(ROW(O7)+1-ROW(O$5),報告用!$AG$4:$AG$39,報告用!$G$4:$G$39,"",FALSE)</f>
        <v>里吉　松子</v>
      </c>
      <c r="P7" s="124" t="str">
        <f t="shared" si="2"/>
        <v>様</v>
      </c>
      <c r="Q7" s="120" t="str">
        <f>IF(_xlfn.XLOOKUP(ROW(Q7)+1-ROW(Q$5),報告用!$AG$4:$AG$39,報告用!$E$4:$E$39,"",FALSE)=N7,"",_xlfn.XLOOKUP(ROW(Q7)+1-ROW(Q$5),報告用!$AG$4:$AG$39,報告用!$E$4:$E$39,"",FALSE))</f>
        <v/>
      </c>
    </row>
    <row r="8" spans="1:17" ht="15.95" customHeight="1">
      <c r="A8" s="180"/>
      <c r="B8" s="117" t="str">
        <f>_xlfn.XLOOKUP(ROW(B8)+1-ROW(B$5),報告用!$AC$4:$AC$39,報告用!F$4:F$39,"",FALSE)</f>
        <v/>
      </c>
      <c r="C8" s="129" t="str">
        <f>_xlfn.XLOOKUP(ROW(C8)+1-ROW(C$5),報告用!$AC$4:$AC$39,報告用!G$4:G$39,"",FALSE)</f>
        <v/>
      </c>
      <c r="D8" s="130" t="str">
        <f t="shared" si="0"/>
        <v/>
      </c>
      <c r="E8" s="118" t="str">
        <f>IF(_xlfn.XLOOKUP(ROW(E8)+1-ROW(E$5),報告用!$AC$4:$AC$39,報告用!E$4:E$39,"",FALSE)=B8,"",_xlfn.XLOOKUP(ROW(E8)+1-ROW(E$5),報告用!$AC$4:$AC$39,報告用!E$4:E$39,"",FALSE))</f>
        <v/>
      </c>
      <c r="F8" s="110"/>
      <c r="G8" s="189"/>
      <c r="H8" s="119">
        <f>_xlfn.XLOOKUP(ROW(H8)+1-ROW(H$5),報告用!$AF$4:$AF$39,報告用!$F$4:$F$39,"",FALSE)</f>
        <v>16</v>
      </c>
      <c r="I8" s="123" t="str">
        <f>_xlfn.XLOOKUP(ROW(I8)+1-ROW(I$5),報告用!$AF$4:$AF$39,報告用!$G$4:$G$39,"",FALSE)</f>
        <v>森　たい子</v>
      </c>
      <c r="J8" s="124" t="str">
        <f t="shared" si="1"/>
        <v>様</v>
      </c>
      <c r="K8" s="120" t="str">
        <f>IF(_xlfn.XLOOKUP(ROW(K8)+1-ROW(K$5),報告用!$AF$4:$AF$39,報告用!$E$4:$E$39,"",FALSE)=H8,"",_xlfn.XLOOKUP(ROW(K8)+1-ROW(K$5),報告用!$AF$4:$AF$39,報告用!$E$4:$E$39,"",FALSE))</f>
        <v/>
      </c>
      <c r="L8" s="111"/>
      <c r="M8" s="189"/>
      <c r="N8" s="119">
        <f>_xlfn.XLOOKUP(ROW(N8)+1-ROW(N$5),報告用!$AG$4:$AG$39,報告用!$F$4:$F$39,"",FALSE)</f>
        <v>16</v>
      </c>
      <c r="O8" s="123" t="str">
        <f>_xlfn.XLOOKUP(ROW(O8)+1-ROW(O$5),報告用!$AG$4:$AG$39,報告用!$G$4:$G$39,"",FALSE)</f>
        <v>森　たい子</v>
      </c>
      <c r="P8" s="124" t="str">
        <f t="shared" si="2"/>
        <v>様</v>
      </c>
      <c r="Q8" s="120" t="str">
        <f>IF(_xlfn.XLOOKUP(ROW(Q8)+1-ROW(Q$5),報告用!$AG$4:$AG$39,報告用!$E$4:$E$39,"",FALSE)=N8,"",_xlfn.XLOOKUP(ROW(Q8)+1-ROW(Q$5),報告用!$AG$4:$AG$39,報告用!$E$4:$E$39,"",FALSE))</f>
        <v/>
      </c>
    </row>
    <row r="9" spans="1:17" ht="15.95" customHeight="1">
      <c r="A9" s="180"/>
      <c r="B9" s="117" t="str">
        <f>_xlfn.XLOOKUP(ROW(B9)+1-ROW(B$5),報告用!$AC$4:$AC$39,報告用!F$4:F$39,"",FALSE)</f>
        <v/>
      </c>
      <c r="C9" s="129" t="str">
        <f>_xlfn.XLOOKUP(ROW(C9)+1-ROW(C$5),報告用!$AC$4:$AC$39,報告用!G$4:G$39,"",FALSE)</f>
        <v/>
      </c>
      <c r="D9" s="130" t="str">
        <f t="shared" si="0"/>
        <v/>
      </c>
      <c r="E9" s="118" t="str">
        <f>IF(_xlfn.XLOOKUP(ROW(E9)+1-ROW(E$5),報告用!$AC$4:$AC$39,報告用!E$4:E$39,"",FALSE)=B9,"",_xlfn.XLOOKUP(ROW(E9)+1-ROW(E$5),報告用!$AC$4:$AC$39,報告用!E$4:E$39,"",FALSE))</f>
        <v/>
      </c>
      <c r="F9" s="110"/>
      <c r="G9" s="189"/>
      <c r="H9" s="119">
        <f>_xlfn.XLOOKUP(ROW(H9)+1-ROW(H$5),報告用!$AF$4:$AF$39,報告用!$F$4:$F$39,"",FALSE)</f>
        <v>17</v>
      </c>
      <c r="I9" s="123" t="str">
        <f>_xlfn.XLOOKUP(ROW(I9)+1-ROW(I$5),報告用!$AF$4:$AF$39,報告用!$G$4:$G$39,"",FALSE)</f>
        <v>河野　秀夫</v>
      </c>
      <c r="J9" s="124" t="str">
        <f t="shared" si="1"/>
        <v>様</v>
      </c>
      <c r="K9" s="120" t="str">
        <f>IF(_xlfn.XLOOKUP(ROW(K9)+1-ROW(K$5),報告用!$AF$4:$AF$39,報告用!$E$4:$E$39,"",FALSE)=H9,"",_xlfn.XLOOKUP(ROW(K9)+1-ROW(K$5),報告用!$AF$4:$AF$39,報告用!$E$4:$E$39,"",FALSE))</f>
        <v/>
      </c>
      <c r="L9" s="111"/>
      <c r="M9" s="189"/>
      <c r="N9" s="119">
        <f>_xlfn.XLOOKUP(ROW(N9)+1-ROW(N$5),報告用!$AG$4:$AG$39,報告用!$F$4:$F$39,"",FALSE)</f>
        <v>17</v>
      </c>
      <c r="O9" s="123" t="str">
        <f>_xlfn.XLOOKUP(ROW(O9)+1-ROW(O$5),報告用!$AG$4:$AG$39,報告用!$G$4:$G$39,"",FALSE)</f>
        <v>河野　秀夫</v>
      </c>
      <c r="P9" s="124" t="str">
        <f t="shared" si="2"/>
        <v>様</v>
      </c>
      <c r="Q9" s="120" t="str">
        <f>IF(_xlfn.XLOOKUP(ROW(Q9)+1-ROW(Q$5),報告用!$AG$4:$AG$39,報告用!$E$4:$E$39,"",FALSE)=N9,"",_xlfn.XLOOKUP(ROW(Q9)+1-ROW(Q$5),報告用!$AG$4:$AG$39,報告用!$E$4:$E$39,"",FALSE))</f>
        <v/>
      </c>
    </row>
    <row r="10" spans="1:17" ht="15.95" customHeight="1">
      <c r="A10" s="180"/>
      <c r="B10" s="117" t="str">
        <f>_xlfn.XLOOKUP(ROW(B10)+1-ROW(B$5),報告用!$AC$4:$AC$39,報告用!F$4:F$39,"",FALSE)</f>
        <v/>
      </c>
      <c r="C10" s="129" t="str">
        <f>_xlfn.XLOOKUP(ROW(C10)+1-ROW(C$5),報告用!$AC$4:$AC$39,報告用!G$4:G$39,"",FALSE)</f>
        <v/>
      </c>
      <c r="D10" s="130" t="str">
        <f t="shared" si="0"/>
        <v/>
      </c>
      <c r="E10" s="118" t="str">
        <f>IF(_xlfn.XLOOKUP(ROW(E10)+1-ROW(E$5),報告用!$AC$4:$AC$39,報告用!E$4:E$39,"",FALSE)=B10,"",_xlfn.XLOOKUP(ROW(E10)+1-ROW(E$5),報告用!$AC$4:$AC$39,報告用!E$4:E$39,"",FALSE))</f>
        <v/>
      </c>
      <c r="F10" s="110"/>
      <c r="G10" s="189"/>
      <c r="H10" s="119">
        <f>_xlfn.XLOOKUP(ROW(H10)+1-ROW(H$5),報告用!$AF$4:$AF$39,報告用!$F$4:$F$39,"",FALSE)</f>
        <v>17</v>
      </c>
      <c r="I10" s="123" t="str">
        <f>_xlfn.XLOOKUP(ROW(I10)+1-ROW(I$5),報告用!$AF$4:$AF$39,報告用!$G$4:$G$39,"",FALSE)</f>
        <v>斎藤　潤一</v>
      </c>
      <c r="J10" s="124" t="str">
        <f t="shared" si="1"/>
        <v>様</v>
      </c>
      <c r="K10" s="120" t="str">
        <f>IF(_xlfn.XLOOKUP(ROW(K10)+1-ROW(K$5),報告用!$AF$4:$AF$39,報告用!$E$4:$E$39,"",FALSE)=H10,"",_xlfn.XLOOKUP(ROW(K10)+1-ROW(K$5),報告用!$AF$4:$AF$39,報告用!$E$4:$E$39,"",FALSE))</f>
        <v/>
      </c>
      <c r="L10" s="111"/>
      <c r="M10" s="189"/>
      <c r="N10" s="119">
        <f>_xlfn.XLOOKUP(ROW(N10)+1-ROW(N$5),報告用!$AG$4:$AG$39,報告用!$F$4:$F$39,"",FALSE)</f>
        <v>17</v>
      </c>
      <c r="O10" s="123" t="str">
        <f>_xlfn.XLOOKUP(ROW(O10)+1-ROW(O$5),報告用!$AG$4:$AG$39,報告用!$G$4:$G$39,"",FALSE)</f>
        <v>斎藤　潤一</v>
      </c>
      <c r="P10" s="124" t="str">
        <f t="shared" si="2"/>
        <v>様</v>
      </c>
      <c r="Q10" s="120" t="str">
        <f>IF(_xlfn.XLOOKUP(ROW(Q10)+1-ROW(Q$5),報告用!$AG$4:$AG$39,報告用!$E$4:$E$39,"",FALSE)=N10,"",_xlfn.XLOOKUP(ROW(Q10)+1-ROW(Q$5),報告用!$AG$4:$AG$39,報告用!$E$4:$E$39,"",FALSE))</f>
        <v/>
      </c>
    </row>
    <row r="11" spans="1:17" ht="15.95" customHeight="1">
      <c r="A11" s="180"/>
      <c r="B11" s="117" t="str">
        <f>_xlfn.XLOOKUP(ROW(B11)+1-ROW(B$5),報告用!$AC$4:$AC$39,報告用!F$4:F$39,"",FALSE)</f>
        <v/>
      </c>
      <c r="C11" s="129" t="str">
        <f>_xlfn.XLOOKUP(ROW(C11)+1-ROW(C$5),報告用!$AC$4:$AC$39,報告用!G$4:G$39,"",FALSE)</f>
        <v/>
      </c>
      <c r="D11" s="130" t="str">
        <f t="shared" si="0"/>
        <v/>
      </c>
      <c r="E11" s="118" t="str">
        <f>IF(_xlfn.XLOOKUP(ROW(E11)+1-ROW(E$5),報告用!$AC$4:$AC$39,報告用!E$4:E$39,"",FALSE)=B11,"",_xlfn.XLOOKUP(ROW(E11)+1-ROW(E$5),報告用!$AC$4:$AC$39,報告用!E$4:E$39,"",FALSE))</f>
        <v/>
      </c>
      <c r="F11" s="110"/>
      <c r="G11" s="189"/>
      <c r="H11" s="119">
        <f>_xlfn.XLOOKUP(ROW(H11)+1-ROW(H$5),報告用!$AF$4:$AF$39,報告用!$F$4:$F$39,"",FALSE)</f>
        <v>17</v>
      </c>
      <c r="I11" s="123" t="str">
        <f>_xlfn.XLOOKUP(ROW(I11)+1-ROW(I$5),報告用!$AF$4:$AF$39,報告用!$G$4:$G$39,"",FALSE)</f>
        <v>小澤　俊治</v>
      </c>
      <c r="J11" s="124" t="str">
        <f t="shared" si="1"/>
        <v>様</v>
      </c>
      <c r="K11" s="120" t="str">
        <f>IF(_xlfn.XLOOKUP(ROW(K11)+1-ROW(K$5),報告用!$AF$4:$AF$39,報告用!$E$4:$E$39,"",FALSE)=H11,"",_xlfn.XLOOKUP(ROW(K11)+1-ROW(K$5),報告用!$AF$4:$AF$39,報告用!$E$4:$E$39,"",FALSE))</f>
        <v/>
      </c>
      <c r="L11" s="111"/>
      <c r="M11" s="189"/>
      <c r="N11" s="119">
        <f>_xlfn.XLOOKUP(ROW(N11)+1-ROW(N$5),報告用!$AG$4:$AG$39,報告用!$F$4:$F$39,"",FALSE)</f>
        <v>17</v>
      </c>
      <c r="O11" s="123" t="str">
        <f>_xlfn.XLOOKUP(ROW(O11)+1-ROW(O$5),報告用!$AG$4:$AG$39,報告用!$G$4:$G$39,"",FALSE)</f>
        <v>小澤　俊治</v>
      </c>
      <c r="P11" s="124" t="str">
        <f t="shared" si="2"/>
        <v>様</v>
      </c>
      <c r="Q11" s="120" t="str">
        <f>IF(_xlfn.XLOOKUP(ROW(Q11)+1-ROW(Q$5),報告用!$AG$4:$AG$39,報告用!$E$4:$E$39,"",FALSE)=N11,"",_xlfn.XLOOKUP(ROW(Q11)+1-ROW(Q$5),報告用!$AG$4:$AG$39,報告用!$E$4:$E$39,"",FALSE))</f>
        <v/>
      </c>
    </row>
    <row r="12" spans="1:17" ht="15.95" customHeight="1">
      <c r="A12" s="180"/>
      <c r="B12" s="117" t="str">
        <f>_xlfn.XLOOKUP(ROW(B12)+1-ROW(B$5),報告用!$AC$4:$AC$39,報告用!F$4:F$39,"",FALSE)</f>
        <v/>
      </c>
      <c r="C12" s="129" t="str">
        <f>_xlfn.XLOOKUP(ROW(C12)+1-ROW(C$5),報告用!$AC$4:$AC$39,報告用!G$4:G$39,"",FALSE)</f>
        <v/>
      </c>
      <c r="D12" s="130" t="str">
        <f t="shared" si="0"/>
        <v/>
      </c>
      <c r="E12" s="118" t="str">
        <f>IF(_xlfn.XLOOKUP(ROW(E12)+1-ROW(E$5),報告用!$AC$4:$AC$39,報告用!E$4:E$39,"",FALSE)=B12,"",_xlfn.XLOOKUP(ROW(E12)+1-ROW(E$5),報告用!$AC$4:$AC$39,報告用!E$4:E$39,"",FALSE))</f>
        <v/>
      </c>
      <c r="F12" s="110"/>
      <c r="G12" s="189"/>
      <c r="H12" s="119">
        <f>_xlfn.XLOOKUP(ROW(H12)+1-ROW(H$5),報告用!$AF$4:$AF$39,報告用!$F$4:$F$39,"",FALSE)</f>
        <v>18</v>
      </c>
      <c r="I12" s="123" t="str">
        <f>_xlfn.XLOOKUP(ROW(I12)+1-ROW(I$5),報告用!$AF$4:$AF$39,報告用!$G$4:$G$39,"",FALSE)</f>
        <v>吉井　用子</v>
      </c>
      <c r="J12" s="124" t="str">
        <f t="shared" si="1"/>
        <v>様</v>
      </c>
      <c r="K12" s="120" t="str">
        <f>IF(_xlfn.XLOOKUP(ROW(K12)+1-ROW(K$5),報告用!$AF$4:$AF$39,報告用!$E$4:$E$39,"",FALSE)=H12,"",_xlfn.XLOOKUP(ROW(K12)+1-ROW(K$5),報告用!$AF$4:$AF$39,報告用!$E$4:$E$39,"",FALSE))</f>
        <v/>
      </c>
      <c r="L12" s="111"/>
      <c r="M12" s="189"/>
      <c r="N12" s="119">
        <f>_xlfn.XLOOKUP(ROW(N12)+1-ROW(N$5),報告用!$AG$4:$AG$39,報告用!$F$4:$F$39,"",FALSE)</f>
        <v>18</v>
      </c>
      <c r="O12" s="123" t="str">
        <f>_xlfn.XLOOKUP(ROW(O12)+1-ROW(O$5),報告用!$AG$4:$AG$39,報告用!$G$4:$G$39,"",FALSE)</f>
        <v>吉井　用子</v>
      </c>
      <c r="P12" s="124" t="str">
        <f t="shared" si="2"/>
        <v>様</v>
      </c>
      <c r="Q12" s="120" t="str">
        <f>IF(_xlfn.XLOOKUP(ROW(Q12)+1-ROW(Q$5),報告用!$AG$4:$AG$39,報告用!$E$4:$E$39,"",FALSE)=N12,"",_xlfn.XLOOKUP(ROW(Q12)+1-ROW(Q$5),報告用!$AG$4:$AG$39,報告用!$E$4:$E$39,"",FALSE))</f>
        <v/>
      </c>
    </row>
    <row r="13" spans="1:17" ht="15.95" customHeight="1">
      <c r="A13" s="180"/>
      <c r="B13" s="117" t="str">
        <f>_xlfn.XLOOKUP(ROW(B13)+1-ROW(B$5),報告用!$AC$4:$AC$39,報告用!F$4:F$39,"",FALSE)</f>
        <v/>
      </c>
      <c r="C13" s="129" t="str">
        <f>_xlfn.XLOOKUP(ROW(C13)+1-ROW(C$5),報告用!$AC$4:$AC$39,報告用!G$4:G$39,"",FALSE)</f>
        <v/>
      </c>
      <c r="D13" s="130" t="str">
        <f t="shared" si="0"/>
        <v/>
      </c>
      <c r="E13" s="118" t="str">
        <f>IF(_xlfn.XLOOKUP(ROW(E13)+1-ROW(E$5),報告用!$AC$4:$AC$39,報告用!E$4:E$39,"",FALSE)=B13,"",_xlfn.XLOOKUP(ROW(E13)+1-ROW(E$5),報告用!$AC$4:$AC$39,報告用!E$4:E$39,"",FALSE))</f>
        <v/>
      </c>
      <c r="F13" s="110"/>
      <c r="G13" s="189"/>
      <c r="H13" s="119">
        <f>_xlfn.XLOOKUP(ROW(H13)+1-ROW(H$5),報告用!$AF$4:$AF$39,報告用!$F$4:$F$39,"",FALSE)</f>
        <v>18</v>
      </c>
      <c r="I13" s="123" t="str">
        <f>_xlfn.XLOOKUP(ROW(I13)+1-ROW(I$5),報告用!$AF$4:$AF$39,報告用!$G$4:$G$39,"",FALSE)</f>
        <v>山本　たみ子</v>
      </c>
      <c r="J13" s="124" t="str">
        <f t="shared" si="1"/>
        <v>様</v>
      </c>
      <c r="K13" s="120" t="str">
        <f>IF(_xlfn.XLOOKUP(ROW(K13)+1-ROW(K$5),報告用!$AF$4:$AF$39,報告用!$E$4:$E$39,"",FALSE)=H13,"",_xlfn.XLOOKUP(ROW(K13)+1-ROW(K$5),報告用!$AF$4:$AF$39,報告用!$E$4:$E$39,"",FALSE))</f>
        <v/>
      </c>
      <c r="L13" s="111"/>
      <c r="M13" s="189"/>
      <c r="N13" s="119">
        <f>_xlfn.XLOOKUP(ROW(N13)+1-ROW(N$5),報告用!$AG$4:$AG$39,報告用!$F$4:$F$39,"",FALSE)</f>
        <v>18</v>
      </c>
      <c r="O13" s="123" t="str">
        <f>_xlfn.XLOOKUP(ROW(O13)+1-ROW(O$5),報告用!$AG$4:$AG$39,報告用!$G$4:$G$39,"",FALSE)</f>
        <v>山本　たみ子</v>
      </c>
      <c r="P13" s="124" t="str">
        <f t="shared" si="2"/>
        <v>様</v>
      </c>
      <c r="Q13" s="120" t="str">
        <f>IF(_xlfn.XLOOKUP(ROW(Q13)+1-ROW(Q$5),報告用!$AG$4:$AG$39,報告用!$E$4:$E$39,"",FALSE)=N13,"",_xlfn.XLOOKUP(ROW(Q13)+1-ROW(Q$5),報告用!$AG$4:$AG$39,報告用!$E$4:$E$39,"",FALSE))</f>
        <v/>
      </c>
    </row>
    <row r="14" spans="1:17" ht="15.95" customHeight="1">
      <c r="A14" s="180"/>
      <c r="B14" s="117" t="str">
        <f>_xlfn.XLOOKUP(ROW(B14)+1-ROW(B$5),報告用!$AC$4:$AC$39,報告用!F$4:F$39,"",FALSE)</f>
        <v/>
      </c>
      <c r="C14" s="129" t="str">
        <f>_xlfn.XLOOKUP(ROW(C14)+1-ROW(C$5),報告用!$AC$4:$AC$39,報告用!G$4:G$39,"",FALSE)</f>
        <v/>
      </c>
      <c r="D14" s="130" t="str">
        <f t="shared" si="0"/>
        <v/>
      </c>
      <c r="E14" s="118" t="str">
        <f>IF(_xlfn.XLOOKUP(ROW(E14)+1-ROW(E$5),報告用!$AC$4:$AC$39,報告用!E$4:E$39,"",FALSE)=B14,"",_xlfn.XLOOKUP(ROW(E14)+1-ROW(E$5),報告用!$AC$4:$AC$39,報告用!E$4:E$39,"",FALSE))</f>
        <v/>
      </c>
      <c r="F14" s="110"/>
      <c r="G14" s="189"/>
      <c r="H14" s="119">
        <f>_xlfn.XLOOKUP(ROW(H14)+1-ROW(H$5),報告用!$AF$4:$AF$39,報告用!$F$4:$F$39,"",FALSE)</f>
        <v>20</v>
      </c>
      <c r="I14" s="123" t="str">
        <f>_xlfn.XLOOKUP(ROW(I14)+1-ROW(I$5),報告用!$AF$4:$AF$39,報告用!$G$4:$G$39,"",FALSE)</f>
        <v>亀岡　廣子</v>
      </c>
      <c r="J14" s="124" t="str">
        <f t="shared" si="1"/>
        <v>様</v>
      </c>
      <c r="K14" s="120" t="str">
        <f>IF(_xlfn.XLOOKUP(ROW(K14)+1-ROW(K$5),報告用!$AF$4:$AF$39,報告用!$E$4:$E$39,"",FALSE)=H14,"",_xlfn.XLOOKUP(ROW(K14)+1-ROW(K$5),報告用!$AF$4:$AF$39,報告用!$E$4:$E$39,"",FALSE))</f>
        <v/>
      </c>
      <c r="L14" s="111"/>
      <c r="M14" s="189"/>
      <c r="N14" s="119">
        <f>_xlfn.XLOOKUP(ROW(N14)+1-ROW(N$5),報告用!$AG$4:$AG$39,報告用!$F$4:$F$39,"",FALSE)</f>
        <v>20</v>
      </c>
      <c r="O14" s="123" t="str">
        <f>_xlfn.XLOOKUP(ROW(O14)+1-ROW(O$5),報告用!$AG$4:$AG$39,報告用!$G$4:$G$39,"",FALSE)</f>
        <v>亀岡　廣子</v>
      </c>
      <c r="P14" s="124" t="str">
        <f t="shared" si="2"/>
        <v>様</v>
      </c>
      <c r="Q14" s="120" t="str">
        <f>IF(_xlfn.XLOOKUP(ROW(Q14)+1-ROW(Q$5),報告用!$AG$4:$AG$39,報告用!$E$4:$E$39,"",FALSE)=N14,"",_xlfn.XLOOKUP(ROW(Q14)+1-ROW(Q$5),報告用!$AG$4:$AG$39,報告用!$E$4:$E$39,"",FALSE))</f>
        <v/>
      </c>
    </row>
    <row r="15" spans="1:17" ht="15.95" customHeight="1">
      <c r="A15" s="180"/>
      <c r="B15" s="117" t="str">
        <f>_xlfn.XLOOKUP(ROW(B15)+1-ROW(B$5),報告用!$AC$4:$AC$39,報告用!F$4:F$39,"",FALSE)</f>
        <v/>
      </c>
      <c r="C15" s="129" t="str">
        <f>_xlfn.XLOOKUP(ROW(C15)+1-ROW(C$5),報告用!$AC$4:$AC$39,報告用!G$4:G$39,"",FALSE)</f>
        <v/>
      </c>
      <c r="D15" s="130" t="str">
        <f t="shared" si="0"/>
        <v/>
      </c>
      <c r="E15" s="118" t="str">
        <f>IF(_xlfn.XLOOKUP(ROW(E15)+1-ROW(E$5),報告用!$AC$4:$AC$39,報告用!E$4:E$39,"",FALSE)=B15,"",_xlfn.XLOOKUP(ROW(E15)+1-ROW(E$5),報告用!$AC$4:$AC$39,報告用!E$4:E$39,"",FALSE))</f>
        <v/>
      </c>
      <c r="F15" s="110"/>
      <c r="G15" s="189"/>
      <c r="H15" s="119">
        <f>_xlfn.XLOOKUP(ROW(H15)+1-ROW(H$5),報告用!$AF$4:$AF$39,報告用!$F$4:$F$39,"",FALSE)</f>
        <v>21</v>
      </c>
      <c r="I15" s="123" t="str">
        <f>_xlfn.XLOOKUP(ROW(I15)+1-ROW(I$5),報告用!$AF$4:$AF$39,報告用!$G$4:$G$39,"",FALSE)</f>
        <v>田中　喬雄</v>
      </c>
      <c r="J15" s="124" t="str">
        <f t="shared" si="1"/>
        <v>様</v>
      </c>
      <c r="K15" s="120" t="str">
        <f>IF(_xlfn.XLOOKUP(ROW(K15)+1-ROW(K$5),報告用!$AF$4:$AF$39,報告用!$E$4:$E$39,"",FALSE)=H15,"",_xlfn.XLOOKUP(ROW(K15)+1-ROW(K$5),報告用!$AF$4:$AF$39,報告用!$E$4:$E$39,"",FALSE))</f>
        <v/>
      </c>
      <c r="L15" s="111"/>
      <c r="M15" s="189"/>
      <c r="N15" s="119">
        <f>_xlfn.XLOOKUP(ROW(N15)+1-ROW(N$5),報告用!$AG$4:$AG$39,報告用!$F$4:$F$39,"",FALSE)</f>
        <v>21</v>
      </c>
      <c r="O15" s="123" t="str">
        <f>_xlfn.XLOOKUP(ROW(O15)+1-ROW(O$5),報告用!$AG$4:$AG$39,報告用!$G$4:$G$39,"",FALSE)</f>
        <v>田中　喬雄</v>
      </c>
      <c r="P15" s="124" t="str">
        <f t="shared" si="2"/>
        <v>様</v>
      </c>
      <c r="Q15" s="120" t="str">
        <f>IF(_xlfn.XLOOKUP(ROW(Q15)+1-ROW(Q$5),報告用!$AG$4:$AG$39,報告用!$E$4:$E$39,"",FALSE)=N15,"",_xlfn.XLOOKUP(ROW(Q15)+1-ROW(Q$5),報告用!$AG$4:$AG$39,報告用!$E$4:$E$39,"",FALSE))</f>
        <v/>
      </c>
    </row>
    <row r="16" spans="1:17" ht="15.95" customHeight="1">
      <c r="A16" s="180"/>
      <c r="B16" s="117" t="str">
        <f>_xlfn.XLOOKUP(ROW(B16)+1-ROW(B$5),報告用!$AC$4:$AC$39,報告用!F$4:F$39,"",FALSE)</f>
        <v/>
      </c>
      <c r="C16" s="129" t="str">
        <f>_xlfn.XLOOKUP(ROW(C16)+1-ROW(C$5),報告用!$AC$4:$AC$39,報告用!G$4:G$39,"",FALSE)</f>
        <v/>
      </c>
      <c r="D16" s="130" t="str">
        <f t="shared" si="0"/>
        <v/>
      </c>
      <c r="E16" s="118" t="str">
        <f>IF(_xlfn.XLOOKUP(ROW(E16)+1-ROW(E$5),報告用!$AC$4:$AC$39,報告用!E$4:E$39,"",FALSE)=B16,"",_xlfn.XLOOKUP(ROW(E16)+1-ROW(E$5),報告用!$AC$4:$AC$39,報告用!E$4:E$39,"",FALSE))</f>
        <v/>
      </c>
      <c r="F16" s="110"/>
      <c r="G16" s="189"/>
      <c r="H16" s="119">
        <f>_xlfn.XLOOKUP(ROW(H16)+1-ROW(H$5),報告用!$AF$4:$AF$39,報告用!$F$4:$F$39,"",FALSE)</f>
        <v>22</v>
      </c>
      <c r="I16" s="123" t="str">
        <f>_xlfn.XLOOKUP(ROW(I16)+1-ROW(I$5),報告用!$AF$4:$AF$39,報告用!$G$4:$G$39,"",FALSE)</f>
        <v>塩沢　信子</v>
      </c>
      <c r="J16" s="124" t="str">
        <f t="shared" si="1"/>
        <v>様</v>
      </c>
      <c r="K16" s="120" t="str">
        <f>IF(_xlfn.XLOOKUP(ROW(K16)+1-ROW(K$5),報告用!$AF$4:$AF$39,報告用!$E$4:$E$39,"",FALSE)=H16,"",_xlfn.XLOOKUP(ROW(K16)+1-ROW(K$5),報告用!$AF$4:$AF$39,報告用!$E$4:$E$39,"",FALSE))</f>
        <v/>
      </c>
      <c r="L16" s="111"/>
      <c r="M16" s="189"/>
      <c r="N16" s="119">
        <f>_xlfn.XLOOKUP(ROW(N16)+1-ROW(N$5),報告用!$AG$4:$AG$39,報告用!$F$4:$F$39,"",FALSE)</f>
        <v>22</v>
      </c>
      <c r="O16" s="123" t="str">
        <f>_xlfn.XLOOKUP(ROW(O16)+1-ROW(O$5),報告用!$AG$4:$AG$39,報告用!$G$4:$G$39,"",FALSE)</f>
        <v>塩沢　信子</v>
      </c>
      <c r="P16" s="124" t="str">
        <f t="shared" si="2"/>
        <v>様</v>
      </c>
      <c r="Q16" s="120" t="str">
        <f>IF(_xlfn.XLOOKUP(ROW(Q16)+1-ROW(Q$5),報告用!$AG$4:$AG$39,報告用!$E$4:$E$39,"",FALSE)=N16,"",_xlfn.XLOOKUP(ROW(Q16)+1-ROW(Q$5),報告用!$AG$4:$AG$39,報告用!$E$4:$E$39,"",FALSE))</f>
        <v/>
      </c>
    </row>
    <row r="17" spans="1:17" ht="15.95" customHeight="1" thickBot="1">
      <c r="A17" s="180"/>
      <c r="B17" s="117" t="str">
        <f>_xlfn.XLOOKUP(ROW(B17)+1-ROW(B$5),報告用!$AC$4:$AC$39,報告用!F$4:F$39,"",FALSE)</f>
        <v/>
      </c>
      <c r="C17" s="129" t="str">
        <f>_xlfn.XLOOKUP(ROW(C17)+1-ROW(C$5),報告用!$AC$4:$AC$39,報告用!G$4:G$39,"",FALSE)</f>
        <v/>
      </c>
      <c r="D17" s="130" t="str">
        <f t="shared" si="0"/>
        <v/>
      </c>
      <c r="E17" s="118" t="str">
        <f>IF(_xlfn.XLOOKUP(ROW(E17)+1-ROW(E$5),報告用!$AC$4:$AC$39,報告用!E$4:E$39,"",FALSE)=B17,"",_xlfn.XLOOKUP(ROW(E17)+1-ROW(E$5),報告用!$AC$4:$AC$39,報告用!E$4:E$39,"",FALSE))</f>
        <v/>
      </c>
      <c r="F17" s="110"/>
      <c r="G17" s="190"/>
      <c r="H17" s="125" t="str">
        <f>_xlfn.XLOOKUP(ROW(H17)+1-ROW(H$5),報告用!$AF$4:$AF$39,報告用!$F$4:$F$39,"",FALSE)</f>
        <v/>
      </c>
      <c r="I17" s="126" t="str">
        <f>_xlfn.XLOOKUP(ROW(I17)+1-ROW(I$5),報告用!$AF$4:$AF$39,報告用!$G$4:$G$39,"",FALSE)</f>
        <v/>
      </c>
      <c r="J17" s="127" t="str">
        <f t="shared" si="1"/>
        <v/>
      </c>
      <c r="K17" s="128" t="str">
        <f>IF(_xlfn.XLOOKUP(ROW(K17)+1-ROW(K$5),報告用!$AF$4:$AF$39,報告用!$E$4:$E$39,"",FALSE)=H17,"",_xlfn.XLOOKUP(ROW(K17)+1-ROW(K$5),報告用!$AF$4:$AF$39,報告用!$E$4:$E$39,"",FALSE))</f>
        <v/>
      </c>
      <c r="L17" s="111"/>
      <c r="M17" s="190"/>
      <c r="N17" s="125" t="str">
        <f>_xlfn.XLOOKUP(ROW(N17)+1-ROW(N$5),報告用!$AG$4:$AG$39,報告用!$F$4:$F$39,"",FALSE)</f>
        <v/>
      </c>
      <c r="O17" s="126" t="str">
        <f>_xlfn.XLOOKUP(ROW(O17)+1-ROW(O$5),報告用!$AG$4:$AG$39,報告用!$G$4:$G$39,"",FALSE)</f>
        <v/>
      </c>
      <c r="P17" s="127" t="str">
        <f t="shared" si="2"/>
        <v/>
      </c>
      <c r="Q17" s="128" t="str">
        <f>IF(_xlfn.XLOOKUP(ROW(Q17)+1-ROW(Q$5),報告用!$AG$4:$AG$39,報告用!$E$4:$E$39,"",FALSE)=N17,"",_xlfn.XLOOKUP(ROW(Q17)+1-ROW(Q$5),報告用!$AG$4:$AG$39,報告用!$E$4:$E$39,"",FALSE))</f>
        <v/>
      </c>
    </row>
    <row r="18" spans="1:17" ht="15.95" customHeight="1" thickTop="1">
      <c r="A18" s="180"/>
      <c r="B18" s="117" t="str">
        <f>_xlfn.XLOOKUP(ROW(B18)+1-ROW(B$5),報告用!$AC$4:$AC$39,報告用!F$4:F$39,"",FALSE)</f>
        <v/>
      </c>
      <c r="C18" s="129" t="str">
        <f>_xlfn.XLOOKUP(ROW(C18)+1-ROW(C$5),報告用!$AC$4:$AC$39,報告用!G$4:G$39,"",FALSE)</f>
        <v/>
      </c>
      <c r="D18" s="130" t="str">
        <f t="shared" si="0"/>
        <v/>
      </c>
      <c r="E18" s="118" t="str">
        <f>IF(_xlfn.XLOOKUP(ROW(E18)+1-ROW(E$5),報告用!$AC$4:$AC$39,報告用!E$4:E$39,"",FALSE)=B18,"",_xlfn.XLOOKUP(ROW(E18)+1-ROW(E$5),報告用!$AC$4:$AC$39,報告用!E$4:E$39,"",FALSE))</f>
        <v/>
      </c>
      <c r="F18" s="110"/>
      <c r="G18" s="179" t="s">
        <v>25</v>
      </c>
      <c r="H18" s="119">
        <f>_xlfn.XLOOKUP(ROW(H18)+1-ROW(H$18),報告用!$AK$4:$AK$39,報告用!$F$4:$F$39,"",FALSE)</f>
        <v>15</v>
      </c>
      <c r="I18" s="123" t="str">
        <f>_xlfn.XLOOKUP(ROW(I18)+1-ROW(I$18),報告用!$AK$4:$AK$39,報告用!$G$4:$G$39,"",FALSE)</f>
        <v>志村とも子</v>
      </c>
      <c r="J18" s="124" t="str">
        <f>IF(I18="","","様")</f>
        <v>様</v>
      </c>
      <c r="K18" s="120" t="str">
        <f>IF(_xlfn.XLOOKUP(ROW(K18)+1-ROW(K$18),報告用!$AK$4:$AK$39,報告用!$E$4:$E$39,"",FALSE)=H18,"",_xlfn.XLOOKUP(ROW(K18)+1-ROW(K$18),報告用!$AK$4:$AK$39,報告用!$E$4:$E$39,"",FALSE))</f>
        <v/>
      </c>
      <c r="L18" s="111"/>
      <c r="M18" s="179" t="s">
        <v>25</v>
      </c>
      <c r="N18" s="119">
        <f>_xlfn.XLOOKUP(ROW(N18)+1-ROW(N$18),報告用!$AL$4:$AL$39,報告用!$F$4:$F$39,"",FALSE)</f>
        <v>15</v>
      </c>
      <c r="O18" s="123" t="str">
        <f>_xlfn.XLOOKUP(ROW(O18)+1-ROW(O$18),報告用!$AL$4:$AL$39,報告用!$G$4:$G$39,"",FALSE)</f>
        <v>志村とも子</v>
      </c>
      <c r="P18" s="124" t="str">
        <f>IF(O18="","","様")</f>
        <v>様</v>
      </c>
      <c r="Q18" s="120" t="str">
        <f>IF(_xlfn.XLOOKUP(ROW(Q18)+1-ROW(Q$18),報告用!$AL$4:$AL$39,報告用!$E$4:$E$39,"",FALSE)=N18,"",_xlfn.XLOOKUP(ROW(Q18)+1-ROW(Q$18),報告用!$AL$4:$AL$39,報告用!$E$4:$E$39,"",FALSE))</f>
        <v/>
      </c>
    </row>
    <row r="19" spans="1:17" ht="15.95" customHeight="1">
      <c r="A19" s="180"/>
      <c r="B19" s="117" t="str">
        <f>_xlfn.XLOOKUP(ROW(B19)+1-ROW(B$5),報告用!$AC$4:$AC$39,報告用!F$4:F$39,"",FALSE)</f>
        <v/>
      </c>
      <c r="C19" s="129" t="str">
        <f>_xlfn.XLOOKUP(ROW(C19)+1-ROW(C$5),報告用!$AC$4:$AC$39,報告用!G$4:G$39,"",FALSE)</f>
        <v/>
      </c>
      <c r="D19" s="130" t="str">
        <f t="shared" si="0"/>
        <v/>
      </c>
      <c r="E19" s="118" t="str">
        <f>IF(_xlfn.XLOOKUP(ROW(E19)+1-ROW(E$5),報告用!$AC$4:$AC$39,報告用!E$4:E$39,"",FALSE)=B19,"",_xlfn.XLOOKUP(ROW(E19)+1-ROW(E$5),報告用!$AC$4:$AC$39,報告用!E$4:E$39,"",FALSE))</f>
        <v/>
      </c>
      <c r="F19" s="110"/>
      <c r="G19" s="180"/>
      <c r="H19" s="119">
        <f>_xlfn.XLOOKUP(ROW(H19)+1-ROW(H$18),報告用!$AK$4:$AK$39,報告用!$F$4:$F$39,"",FALSE)</f>
        <v>15</v>
      </c>
      <c r="I19" s="123" t="str">
        <f>_xlfn.XLOOKUP(ROW(I19)+1-ROW(I$18),報告用!$AK$4:$AK$39,報告用!$G$4:$G$39,"",FALSE)</f>
        <v>佐藤　亜美</v>
      </c>
      <c r="J19" s="124" t="str">
        <f t="shared" ref="J19:J34" si="3">IF(I19="","","様")</f>
        <v>様</v>
      </c>
      <c r="K19" s="120" t="str">
        <f>IF(_xlfn.XLOOKUP(ROW(K19)+1-ROW(K$18),報告用!$AK$4:$AK$39,報告用!$E$4:$E$39,"",FALSE)=H19,"",_xlfn.XLOOKUP(ROW(K19)+1-ROW(K$18),報告用!$AK$4:$AK$39,報告用!$E$4:$E$39,"",FALSE))</f>
        <v/>
      </c>
      <c r="L19" s="111"/>
      <c r="M19" s="180"/>
      <c r="N19" s="119">
        <f>_xlfn.XLOOKUP(ROW(N19)+1-ROW(N$18),報告用!$AL$4:$AL$39,報告用!$F$4:$F$39,"",FALSE)</f>
        <v>15</v>
      </c>
      <c r="O19" s="123" t="str">
        <f>_xlfn.XLOOKUP(ROW(O19)+1-ROW(O$18),報告用!$AL$4:$AL$39,報告用!$G$4:$G$39,"",FALSE)</f>
        <v>佐藤　亜美</v>
      </c>
      <c r="P19" s="124" t="str">
        <f t="shared" ref="P19:P34" si="4">IF(O19="","","様")</f>
        <v>様</v>
      </c>
      <c r="Q19" s="120" t="str">
        <f>IF(_xlfn.XLOOKUP(ROW(Q19)+1-ROW(Q$18),報告用!$AL$4:$AL$39,報告用!$E$4:$E$39,"",FALSE)=N19,"",_xlfn.XLOOKUP(ROW(Q19)+1-ROW(Q$18),報告用!$AL$4:$AL$39,報告用!$E$4:$E$39,"",FALSE))</f>
        <v/>
      </c>
    </row>
    <row r="20" spans="1:17" ht="15.95" customHeight="1">
      <c r="A20" s="180"/>
      <c r="B20" s="117" t="str">
        <f>_xlfn.XLOOKUP(ROW(B20)+1-ROW(B$5),報告用!$AC$4:$AC$39,報告用!F$4:F$39,"",FALSE)</f>
        <v/>
      </c>
      <c r="C20" s="129" t="str">
        <f>_xlfn.XLOOKUP(ROW(C20)+1-ROW(C$5),報告用!$AC$4:$AC$39,報告用!G$4:G$39,"",FALSE)</f>
        <v/>
      </c>
      <c r="D20" s="130" t="str">
        <f t="shared" si="0"/>
        <v/>
      </c>
      <c r="E20" s="118" t="str">
        <f>IF(_xlfn.XLOOKUP(ROW(E20)+1-ROW(E$5),報告用!$AC$4:$AC$39,報告用!E$4:E$39,"",FALSE)=B20,"",_xlfn.XLOOKUP(ROW(E20)+1-ROW(E$5),報告用!$AC$4:$AC$39,報告用!E$4:E$39,"",FALSE))</f>
        <v/>
      </c>
      <c r="F20" s="110"/>
      <c r="G20" s="180"/>
      <c r="H20" s="119">
        <f>_xlfn.XLOOKUP(ROW(H20)+1-ROW(H$18),報告用!$AK$4:$AK$39,報告用!$F$4:$F$39,"",FALSE)</f>
        <v>16</v>
      </c>
      <c r="I20" s="123" t="str">
        <f>_xlfn.XLOOKUP(ROW(I20)+1-ROW(I$18),報告用!$AK$4:$AK$39,報告用!$G$4:$G$39,"",FALSE)</f>
        <v>笠井　京子</v>
      </c>
      <c r="J20" s="124" t="str">
        <f t="shared" si="3"/>
        <v>様</v>
      </c>
      <c r="K20" s="120" t="str">
        <f>IF(_xlfn.XLOOKUP(ROW(K20)+1-ROW(K$18),報告用!$AK$4:$AK$39,報告用!$E$4:$E$39,"",FALSE)=H20,"",_xlfn.XLOOKUP(ROW(K20)+1-ROW(K$18),報告用!$AK$4:$AK$39,報告用!$E$4:$E$39,"",FALSE))</f>
        <v/>
      </c>
      <c r="L20" s="111"/>
      <c r="M20" s="180"/>
      <c r="N20" s="119">
        <f>_xlfn.XLOOKUP(ROW(N20)+1-ROW(N$18),報告用!$AL$4:$AL$39,報告用!$F$4:$F$39,"",FALSE)</f>
        <v>16</v>
      </c>
      <c r="O20" s="123" t="str">
        <f>_xlfn.XLOOKUP(ROW(O20)+1-ROW(O$18),報告用!$AL$4:$AL$39,報告用!$G$4:$G$39,"",FALSE)</f>
        <v>牛山　はつ子</v>
      </c>
      <c r="P20" s="124" t="str">
        <f t="shared" si="4"/>
        <v>様</v>
      </c>
      <c r="Q20" s="120" t="str">
        <f>IF(_xlfn.XLOOKUP(ROW(Q20)+1-ROW(Q$18),報告用!$AL$4:$AL$39,報告用!$E$4:$E$39,"",FALSE)=N20,"",_xlfn.XLOOKUP(ROW(Q20)+1-ROW(Q$18),報告用!$AL$4:$AL$39,報告用!$E$4:$E$39,"",FALSE))</f>
        <v/>
      </c>
    </row>
    <row r="21" spans="1:17" ht="15.95" customHeight="1" thickBot="1">
      <c r="A21" s="187"/>
      <c r="B21" s="112" t="str">
        <f>_xlfn.XLOOKUP(ROW(B21)+1-ROW(B$5),報告用!$AC$4:$AC$39,報告用!F$4:F$39,"",FALSE)</f>
        <v/>
      </c>
      <c r="C21" s="131" t="str">
        <f>_xlfn.XLOOKUP(ROW(C21)+1-ROW(C$5),報告用!$AC$4:$AC$39,報告用!G$4:G$39,"",FALSE)</f>
        <v/>
      </c>
      <c r="D21" s="113" t="str">
        <f t="shared" si="0"/>
        <v/>
      </c>
      <c r="E21" s="114" t="str">
        <f>IF(_xlfn.XLOOKUP(ROW(E21)+1-ROW(E$5),報告用!$AC$4:$AC$39,報告用!E$4:E$39,"",FALSE)=B21,"",_xlfn.XLOOKUP(ROW(E21)+1-ROW(E$5),報告用!$AC$4:$AC$39,報告用!E$4:E$39,"",FALSE))</f>
        <v/>
      </c>
      <c r="F21" s="110"/>
      <c r="G21" s="180"/>
      <c r="H21" s="119">
        <f>_xlfn.XLOOKUP(ROW(H21)+1-ROW(H$18),報告用!$AK$4:$AK$39,報告用!$F$4:$F$39,"",FALSE)</f>
        <v>16</v>
      </c>
      <c r="I21" s="123" t="str">
        <f>_xlfn.XLOOKUP(ROW(I21)+1-ROW(I$18),報告用!$AK$4:$AK$39,報告用!$G$4:$G$39,"",FALSE)</f>
        <v>牛山　はつ子</v>
      </c>
      <c r="J21" s="124" t="str">
        <f t="shared" si="3"/>
        <v>様</v>
      </c>
      <c r="K21" s="120" t="str">
        <f>IF(_xlfn.XLOOKUP(ROW(K21)+1-ROW(K$18),報告用!$AK$4:$AK$39,報告用!$E$4:$E$39,"",FALSE)=H21,"",_xlfn.XLOOKUP(ROW(K21)+1-ROW(K$18),報告用!$AK$4:$AK$39,報告用!$E$4:$E$39,"",FALSE))</f>
        <v/>
      </c>
      <c r="L21" s="111"/>
      <c r="M21" s="180"/>
      <c r="N21" s="119">
        <f>_xlfn.XLOOKUP(ROW(N21)+1-ROW(N$18),報告用!$AL$4:$AL$39,報告用!$F$4:$F$39,"",FALSE)</f>
        <v>16</v>
      </c>
      <c r="O21" s="123" t="str">
        <f>_xlfn.XLOOKUP(ROW(O21)+1-ROW(O$18),報告用!$AL$4:$AL$39,報告用!$G$4:$G$39,"",FALSE)</f>
        <v>西山　望</v>
      </c>
      <c r="P21" s="124" t="str">
        <f t="shared" si="4"/>
        <v>様</v>
      </c>
      <c r="Q21" s="120" t="str">
        <f>IF(_xlfn.XLOOKUP(ROW(Q21)+1-ROW(Q$18),報告用!$AL$4:$AL$39,報告用!$E$4:$E$39,"",FALSE)=N21,"",_xlfn.XLOOKUP(ROW(Q21)+1-ROW(Q$18),報告用!$AL$4:$AL$39,報告用!$E$4:$E$39,"",FALSE))</f>
        <v/>
      </c>
    </row>
    <row r="22" spans="1:17" ht="15.95" customHeight="1" thickTop="1">
      <c r="A22" s="198" t="s">
        <v>37</v>
      </c>
      <c r="B22" s="115">
        <f>_xlfn.XLOOKUP(ROW(B22)+1-ROW(B$22),報告用!$AD$4:$AD$39,報告用!F$4:F$39,"",FALSE)</f>
        <v>16</v>
      </c>
      <c r="C22" s="121" t="str">
        <f>_xlfn.XLOOKUP(ROW(C22)+1-ROW(C$22),報告用!$AD$4:$AD$39,報告用!G$4:G$39,"",FALSE)</f>
        <v>牛山　はつ子</v>
      </c>
      <c r="D22" s="122" t="str">
        <f>IF(C22="","","様")</f>
        <v>様</v>
      </c>
      <c r="E22" s="116" t="str">
        <f>IF(_xlfn.XLOOKUP(ROW(E22)+1-ROW(E$22),報告用!$AD$4:$AD$39,報告用!E$4:E$39,"",FALSE)=B22,"",_xlfn.XLOOKUP(ROW(E22)+1-ROW(E$22),報告用!$AD$4:$AD$39,報告用!E$4:E$39,"",FALSE))</f>
        <v/>
      </c>
      <c r="F22" s="110"/>
      <c r="G22" s="180"/>
      <c r="H22" s="119">
        <f>_xlfn.XLOOKUP(ROW(H22)+1-ROW(H$18),報告用!$AK$4:$AK$39,報告用!$F$4:$F$39,"",FALSE)</f>
        <v>16</v>
      </c>
      <c r="I22" s="123" t="str">
        <f>_xlfn.XLOOKUP(ROW(I22)+1-ROW(I$18),報告用!$AK$4:$AK$39,報告用!$G$4:$G$39,"",FALSE)</f>
        <v>西山　望</v>
      </c>
      <c r="J22" s="124" t="str">
        <f t="shared" si="3"/>
        <v>様</v>
      </c>
      <c r="K22" s="120" t="str">
        <f>IF(_xlfn.XLOOKUP(ROW(K22)+1-ROW(K$18),報告用!$AK$4:$AK$39,報告用!$E$4:$E$39,"",FALSE)=H22,"",_xlfn.XLOOKUP(ROW(K22)+1-ROW(K$18),報告用!$AK$4:$AK$39,報告用!$E$4:$E$39,"",FALSE))</f>
        <v/>
      </c>
      <c r="L22" s="111"/>
      <c r="M22" s="180"/>
      <c r="N22" s="119">
        <f>_xlfn.XLOOKUP(ROW(N22)+1-ROW(N$18),報告用!$AL$4:$AL$39,報告用!$F$4:$F$39,"",FALSE)</f>
        <v>17</v>
      </c>
      <c r="O22" s="123" t="str">
        <f>_xlfn.XLOOKUP(ROW(O22)+1-ROW(O$18),報告用!$AL$4:$AL$39,報告用!$G$4:$G$39,"",FALSE)</f>
        <v>斎藤　潤一</v>
      </c>
      <c r="P22" s="124" t="str">
        <f t="shared" si="4"/>
        <v>様</v>
      </c>
      <c r="Q22" s="120" t="str">
        <f>IF(_xlfn.XLOOKUP(ROW(Q22)+1-ROW(Q$18),報告用!$AL$4:$AL$39,報告用!$E$4:$E$39,"",FALSE)=N22,"",_xlfn.XLOOKUP(ROW(Q22)+1-ROW(Q$18),報告用!$AL$4:$AL$39,報告用!$E$4:$E$39,"",FALSE))</f>
        <v/>
      </c>
    </row>
    <row r="23" spans="1:17" ht="15.95" customHeight="1">
      <c r="A23" s="180"/>
      <c r="B23" s="119">
        <f>_xlfn.XLOOKUP(ROW(B23)+1-ROW(B$22),報告用!$AD$4:$AD$39,報告用!F$4:F$39,"",FALSE)</f>
        <v>16</v>
      </c>
      <c r="C23" s="123" t="str">
        <f>_xlfn.XLOOKUP(ROW(C23)+1-ROW(C$22),報告用!$AD$4:$AD$39,報告用!G$4:G$39,"",FALSE)</f>
        <v>森　たい子</v>
      </c>
      <c r="D23" s="124" t="str">
        <f t="shared" ref="D23:D29" si="5">IF(C23="","","様")</f>
        <v>様</v>
      </c>
      <c r="E23" s="120" t="str">
        <f>IF(_xlfn.XLOOKUP(ROW(E23)+1-ROW(E$22),報告用!$AD$4:$AD$39,報告用!E$4:E$39,"",FALSE)=B23,"",_xlfn.XLOOKUP(ROW(E23)+1-ROW(E$22),報告用!$AD$4:$AD$39,報告用!E$4:E$39,"",FALSE))</f>
        <v/>
      </c>
      <c r="F23" s="110"/>
      <c r="G23" s="180"/>
      <c r="H23" s="119">
        <f>_xlfn.XLOOKUP(ROW(H23)+1-ROW(H$18),報告用!$AK$4:$AK$39,報告用!$F$4:$F$39,"",FALSE)</f>
        <v>17</v>
      </c>
      <c r="I23" s="123" t="str">
        <f>_xlfn.XLOOKUP(ROW(I23)+1-ROW(I$18),報告用!$AK$4:$AK$39,報告用!$G$4:$G$39,"",FALSE)</f>
        <v>斎藤　潤一</v>
      </c>
      <c r="J23" s="124" t="str">
        <f t="shared" si="3"/>
        <v>様</v>
      </c>
      <c r="K23" s="120" t="str">
        <f>IF(_xlfn.XLOOKUP(ROW(K23)+1-ROW(K$18),報告用!$AK$4:$AK$39,報告用!$E$4:$E$39,"",FALSE)=H23,"",_xlfn.XLOOKUP(ROW(K23)+1-ROW(K$18),報告用!$AK$4:$AK$39,報告用!$E$4:$E$39,"",FALSE))</f>
        <v/>
      </c>
      <c r="L23" s="111"/>
      <c r="M23" s="180"/>
      <c r="N23" s="119">
        <f>_xlfn.XLOOKUP(ROW(N23)+1-ROW(N$18),報告用!$AL$4:$AL$39,報告用!$F$4:$F$39,"",FALSE)</f>
        <v>18</v>
      </c>
      <c r="O23" s="123" t="str">
        <f>_xlfn.XLOOKUP(ROW(O23)+1-ROW(O$18),報告用!$AL$4:$AL$39,報告用!$G$4:$G$39,"",FALSE)</f>
        <v>中澤　和江</v>
      </c>
      <c r="P23" s="124" t="str">
        <f t="shared" si="4"/>
        <v>様</v>
      </c>
      <c r="Q23" s="120">
        <f>IF(_xlfn.XLOOKUP(ROW(Q23)+1-ROW(Q$18),報告用!$AL$4:$AL$39,報告用!$E$4:$E$39,"",FALSE)=N23,"",_xlfn.XLOOKUP(ROW(Q23)+1-ROW(Q$18),報告用!$AL$4:$AL$39,報告用!$E$4:$E$39,"",FALSE))</f>
        <v>17</v>
      </c>
    </row>
    <row r="24" spans="1:17" ht="15.95" customHeight="1">
      <c r="A24" s="180"/>
      <c r="B24" s="119">
        <f>_xlfn.XLOOKUP(ROW(B24)+1-ROW(B$22),報告用!$AD$4:$AD$39,報告用!F$4:F$39,"",FALSE)</f>
        <v>17</v>
      </c>
      <c r="C24" s="123" t="str">
        <f>_xlfn.XLOOKUP(ROW(C24)+1-ROW(C$22),報告用!$AD$4:$AD$39,報告用!G$4:G$39,"",FALSE)</f>
        <v>小澤　俊治</v>
      </c>
      <c r="D24" s="124" t="str">
        <f t="shared" si="5"/>
        <v>様</v>
      </c>
      <c r="E24" s="120" t="str">
        <f>IF(_xlfn.XLOOKUP(ROW(E24)+1-ROW(E$22),報告用!$AD$4:$AD$39,報告用!E$4:E$39,"",FALSE)=B24,"",_xlfn.XLOOKUP(ROW(E24)+1-ROW(E$22),報告用!$AD$4:$AD$39,報告用!E$4:E$39,"",FALSE))</f>
        <v/>
      </c>
      <c r="F24" s="110"/>
      <c r="G24" s="180"/>
      <c r="H24" s="119">
        <f>_xlfn.XLOOKUP(ROW(H24)+1-ROW(H$18),報告用!$AK$4:$AK$39,報告用!$F$4:$F$39,"",FALSE)</f>
        <v>18</v>
      </c>
      <c r="I24" s="123" t="str">
        <f>_xlfn.XLOOKUP(ROW(I24)+1-ROW(I$18),報告用!$AK$4:$AK$39,報告用!$G$4:$G$39,"",FALSE)</f>
        <v>中澤　和江</v>
      </c>
      <c r="J24" s="124" t="str">
        <f t="shared" si="3"/>
        <v>様</v>
      </c>
      <c r="K24" s="120">
        <f>IF(_xlfn.XLOOKUP(ROW(K24)+1-ROW(K$18),報告用!$AK$4:$AK$39,報告用!$E$4:$E$39,"",FALSE)=H24,"",_xlfn.XLOOKUP(ROW(K24)+1-ROW(K$18),報告用!$AK$4:$AK$39,報告用!$E$4:$E$39,"",FALSE))</f>
        <v>17</v>
      </c>
      <c r="L24" s="111"/>
      <c r="M24" s="180"/>
      <c r="N24" s="119">
        <f>_xlfn.XLOOKUP(ROW(N24)+1-ROW(N$18),報告用!$AL$4:$AL$39,報告用!$F$4:$F$39,"",FALSE)</f>
        <v>18</v>
      </c>
      <c r="O24" s="123" t="str">
        <f>_xlfn.XLOOKUP(ROW(O24)+1-ROW(O$18),報告用!$AL$4:$AL$39,報告用!$G$4:$G$39,"",FALSE)</f>
        <v>山本　たみ子</v>
      </c>
      <c r="P24" s="124" t="str">
        <f t="shared" si="4"/>
        <v>様</v>
      </c>
      <c r="Q24" s="120" t="str">
        <f>IF(_xlfn.XLOOKUP(ROW(Q24)+1-ROW(Q$18),報告用!$AL$4:$AL$39,報告用!$E$4:$E$39,"",FALSE)=N24,"",_xlfn.XLOOKUP(ROW(Q24)+1-ROW(Q$18),報告用!$AL$4:$AL$39,報告用!$E$4:$E$39,"",FALSE))</f>
        <v/>
      </c>
    </row>
    <row r="25" spans="1:17" ht="15.95" customHeight="1">
      <c r="A25" s="180"/>
      <c r="B25" s="119">
        <f>_xlfn.XLOOKUP(ROW(B25)+1-ROW(B$22),報告用!$AD$4:$AD$39,報告用!F$4:F$39,"",FALSE)</f>
        <v>21</v>
      </c>
      <c r="C25" s="123" t="str">
        <f>_xlfn.XLOOKUP(ROW(C25)+1-ROW(C$22),報告用!$AD$4:$AD$39,報告用!G$4:G$39,"",FALSE)</f>
        <v>土田　茂</v>
      </c>
      <c r="D25" s="124" t="str">
        <f t="shared" si="5"/>
        <v>様</v>
      </c>
      <c r="E25" s="120" t="str">
        <f>IF(_xlfn.XLOOKUP(ROW(E25)+1-ROW(E$22),報告用!$AD$4:$AD$39,報告用!E$4:E$39,"",FALSE)=B25,"",_xlfn.XLOOKUP(ROW(E25)+1-ROW(E$22),報告用!$AD$4:$AD$39,報告用!E$4:E$39,"",FALSE))</f>
        <v/>
      </c>
      <c r="F25" s="110"/>
      <c r="G25" s="180"/>
      <c r="H25" s="119">
        <f>_xlfn.XLOOKUP(ROW(H25)+1-ROW(H$18),報告用!$AK$4:$AK$39,報告用!$F$4:$F$39,"",FALSE)</f>
        <v>18</v>
      </c>
      <c r="I25" s="123" t="str">
        <f>_xlfn.XLOOKUP(ROW(I25)+1-ROW(I$18),報告用!$AK$4:$AK$39,報告用!$G$4:$G$39,"",FALSE)</f>
        <v>深味　照子</v>
      </c>
      <c r="J25" s="124" t="str">
        <f t="shared" si="3"/>
        <v>様</v>
      </c>
      <c r="K25" s="120" t="str">
        <f>IF(_xlfn.XLOOKUP(ROW(K25)+1-ROW(K$18),報告用!$AK$4:$AK$39,報告用!$E$4:$E$39,"",FALSE)=H25,"",_xlfn.XLOOKUP(ROW(K25)+1-ROW(K$18),報告用!$AK$4:$AK$39,報告用!$E$4:$E$39,"",FALSE))</f>
        <v/>
      </c>
      <c r="L25" s="111"/>
      <c r="M25" s="180"/>
      <c r="N25" s="119">
        <f>_xlfn.XLOOKUP(ROW(N25)+1-ROW(N$18),報告用!$AL$4:$AL$39,報告用!$F$4:$F$39,"",FALSE)</f>
        <v>20</v>
      </c>
      <c r="O25" s="123" t="str">
        <f>_xlfn.XLOOKUP(ROW(O25)+1-ROW(O$18),報告用!$AL$4:$AL$39,報告用!$G$4:$G$39,"",FALSE)</f>
        <v>小口　千穂</v>
      </c>
      <c r="P25" s="124" t="str">
        <f t="shared" si="4"/>
        <v>様</v>
      </c>
      <c r="Q25" s="120" t="str">
        <f>IF(_xlfn.XLOOKUP(ROW(Q25)+1-ROW(Q$18),報告用!$AL$4:$AL$39,報告用!$E$4:$E$39,"",FALSE)=N25,"",_xlfn.XLOOKUP(ROW(Q25)+1-ROW(Q$18),報告用!$AL$4:$AL$39,報告用!$E$4:$E$39,"",FALSE))</f>
        <v/>
      </c>
    </row>
    <row r="26" spans="1:17" ht="15.95" customHeight="1">
      <c r="A26" s="180"/>
      <c r="B26" s="119" t="str">
        <f>_xlfn.XLOOKUP(ROW(B26)+1-ROW(B$22),報告用!$AD$4:$AD$39,報告用!F$4:F$39,"",FALSE)</f>
        <v/>
      </c>
      <c r="C26" s="123" t="str">
        <f>_xlfn.XLOOKUP(ROW(C26)+1-ROW(C$22),報告用!$AD$4:$AD$39,報告用!G$4:G$39,"",FALSE)</f>
        <v/>
      </c>
      <c r="D26" s="124" t="str">
        <f t="shared" si="5"/>
        <v/>
      </c>
      <c r="E26" s="120" t="str">
        <f>IF(_xlfn.XLOOKUP(ROW(E26)+1-ROW(E$22),報告用!$AD$4:$AD$39,報告用!E$4:E$39,"",FALSE)=B26,"",_xlfn.XLOOKUP(ROW(E26)+1-ROW(E$22),報告用!$AD$4:$AD$39,報告用!E$4:E$39,"",FALSE))</f>
        <v/>
      </c>
      <c r="F26" s="110"/>
      <c r="G26" s="180"/>
      <c r="H26" s="119">
        <f>_xlfn.XLOOKUP(ROW(H26)+1-ROW(H$18),報告用!$AK$4:$AK$39,報告用!$F$4:$F$39,"",FALSE)</f>
        <v>18</v>
      </c>
      <c r="I26" s="123" t="str">
        <f>_xlfn.XLOOKUP(ROW(I26)+1-ROW(I$18),報告用!$AK$4:$AK$39,報告用!$G$4:$G$39,"",FALSE)</f>
        <v>山本　たみ子</v>
      </c>
      <c r="J26" s="124" t="str">
        <f t="shared" si="3"/>
        <v>様</v>
      </c>
      <c r="K26" s="120" t="str">
        <f>IF(_xlfn.XLOOKUP(ROW(K26)+1-ROW(K$18),報告用!$AK$4:$AK$39,報告用!$E$4:$E$39,"",FALSE)=H26,"",_xlfn.XLOOKUP(ROW(K26)+1-ROW(K$18),報告用!$AK$4:$AK$39,報告用!$E$4:$E$39,"",FALSE))</f>
        <v/>
      </c>
      <c r="L26" s="111"/>
      <c r="M26" s="180"/>
      <c r="N26" s="119">
        <f>_xlfn.XLOOKUP(ROW(N26)+1-ROW(N$18),報告用!$AL$4:$AL$39,報告用!$F$4:$F$39,"",FALSE)</f>
        <v>20</v>
      </c>
      <c r="O26" s="123" t="str">
        <f>_xlfn.XLOOKUP(ROW(O26)+1-ROW(O$18),報告用!$AL$4:$AL$39,報告用!$G$4:$G$39,"",FALSE)</f>
        <v>堀内　竹子</v>
      </c>
      <c r="P26" s="124" t="str">
        <f t="shared" si="4"/>
        <v>様</v>
      </c>
      <c r="Q26" s="120" t="str">
        <f>IF(_xlfn.XLOOKUP(ROW(Q26)+1-ROW(Q$18),報告用!$AL$4:$AL$39,報告用!$E$4:$E$39,"",FALSE)=N26,"",_xlfn.XLOOKUP(ROW(Q26)+1-ROW(Q$18),報告用!$AL$4:$AL$39,報告用!$E$4:$E$39,"",FALSE))</f>
        <v/>
      </c>
    </row>
    <row r="27" spans="1:17" ht="15.95" customHeight="1">
      <c r="A27" s="180"/>
      <c r="B27" s="119" t="str">
        <f>_xlfn.XLOOKUP(ROW(B27)+1-ROW(B$22),報告用!$AD$4:$AD$39,報告用!F$4:F$39,"",FALSE)</f>
        <v/>
      </c>
      <c r="C27" s="123" t="str">
        <f>_xlfn.XLOOKUP(ROW(C27)+1-ROW(C$22),報告用!$AD$4:$AD$39,報告用!G$4:G$39,"",FALSE)</f>
        <v/>
      </c>
      <c r="D27" s="124" t="str">
        <f t="shared" si="5"/>
        <v/>
      </c>
      <c r="E27" s="120" t="str">
        <f>IF(_xlfn.XLOOKUP(ROW(E27)+1-ROW(E$22),報告用!$AD$4:$AD$39,報告用!E$4:E$39,"",FALSE)=B27,"",_xlfn.XLOOKUP(ROW(E27)+1-ROW(E$22),報告用!$AD$4:$AD$39,報告用!E$4:E$39,"",FALSE))</f>
        <v/>
      </c>
      <c r="F27" s="110"/>
      <c r="G27" s="180"/>
      <c r="H27" s="119">
        <f>_xlfn.XLOOKUP(ROW(H27)+1-ROW(H$18),報告用!$AK$4:$AK$39,報告用!$F$4:$F$39,"",FALSE)</f>
        <v>20</v>
      </c>
      <c r="I27" s="123" t="str">
        <f>_xlfn.XLOOKUP(ROW(I27)+1-ROW(I$18),報告用!$AK$4:$AK$39,報告用!$G$4:$G$39,"",FALSE)</f>
        <v>小口　千穂</v>
      </c>
      <c r="J27" s="124" t="str">
        <f t="shared" si="3"/>
        <v>様</v>
      </c>
      <c r="K27" s="120" t="str">
        <f>IF(_xlfn.XLOOKUP(ROW(K27)+1-ROW(K$18),報告用!$AK$4:$AK$39,報告用!$E$4:$E$39,"",FALSE)=H27,"",_xlfn.XLOOKUP(ROW(K27)+1-ROW(K$18),報告用!$AK$4:$AK$39,報告用!$E$4:$E$39,"",FALSE))</f>
        <v/>
      </c>
      <c r="L27" s="111"/>
      <c r="M27" s="180"/>
      <c r="N27" s="119">
        <f>_xlfn.XLOOKUP(ROW(N27)+1-ROW(N$18),報告用!$AL$4:$AL$39,報告用!$F$4:$F$39,"",FALSE)</f>
        <v>21</v>
      </c>
      <c r="O27" s="123" t="str">
        <f>_xlfn.XLOOKUP(ROW(O27)+1-ROW(O$18),報告用!$AL$4:$AL$39,報告用!$G$4:$G$39,"",FALSE)</f>
        <v>小林　國光</v>
      </c>
      <c r="P27" s="124" t="str">
        <f t="shared" si="4"/>
        <v>様</v>
      </c>
      <c r="Q27" s="120">
        <f>IF(_xlfn.XLOOKUP(ROW(Q27)+1-ROW(Q$18),報告用!$AL$4:$AL$39,報告用!$E$4:$E$39,"",FALSE)=N27,"",_xlfn.XLOOKUP(ROW(Q27)+1-ROW(Q$18),報告用!$AL$4:$AL$39,報告用!$E$4:$E$39,"",FALSE))</f>
        <v>17</v>
      </c>
    </row>
    <row r="28" spans="1:17" ht="15.95" customHeight="1">
      <c r="A28" s="180"/>
      <c r="B28" s="119" t="str">
        <f>_xlfn.XLOOKUP(ROW(B28)+1-ROW(B$22),報告用!$AD$4:$AD$39,報告用!F$4:F$39,"",FALSE)</f>
        <v/>
      </c>
      <c r="C28" s="123" t="str">
        <f>_xlfn.XLOOKUP(ROW(C28)+1-ROW(C$22),報告用!$AD$4:$AD$39,報告用!G$4:G$39,"",FALSE)</f>
        <v/>
      </c>
      <c r="D28" s="124" t="str">
        <f t="shared" si="5"/>
        <v/>
      </c>
      <c r="E28" s="120" t="str">
        <f>IF(_xlfn.XLOOKUP(ROW(E28)+1-ROW(E$22),報告用!$AD$4:$AD$39,報告用!E$4:E$39,"",FALSE)=B28,"",_xlfn.XLOOKUP(ROW(E28)+1-ROW(E$22),報告用!$AD$4:$AD$39,報告用!E$4:E$39,"",FALSE))</f>
        <v/>
      </c>
      <c r="F28" s="110"/>
      <c r="G28" s="180"/>
      <c r="H28" s="119">
        <f>_xlfn.XLOOKUP(ROW(H28)+1-ROW(H$18),報告用!$AK$4:$AK$39,報告用!$F$4:$F$39,"",FALSE)</f>
        <v>20</v>
      </c>
      <c r="I28" s="123" t="str">
        <f>_xlfn.XLOOKUP(ROW(I28)+1-ROW(I$18),報告用!$AK$4:$AK$39,報告用!$G$4:$G$39,"",FALSE)</f>
        <v>堀内　竹子</v>
      </c>
      <c r="J28" s="124" t="str">
        <f t="shared" si="3"/>
        <v>様</v>
      </c>
      <c r="K28" s="120" t="str">
        <f>IF(_xlfn.XLOOKUP(ROW(K28)+1-ROW(K$18),報告用!$AK$4:$AK$39,報告用!$E$4:$E$39,"",FALSE)=H28,"",_xlfn.XLOOKUP(ROW(K28)+1-ROW(K$18),報告用!$AK$4:$AK$39,報告用!$E$4:$E$39,"",FALSE))</f>
        <v/>
      </c>
      <c r="L28" s="111"/>
      <c r="M28" s="180"/>
      <c r="N28" s="119">
        <f>_xlfn.XLOOKUP(ROW(N28)+1-ROW(N$18),報告用!$AL$4:$AL$39,報告用!$F$4:$F$39,"",FALSE)</f>
        <v>21</v>
      </c>
      <c r="O28" s="123" t="str">
        <f>_xlfn.XLOOKUP(ROW(O28)+1-ROW(O$18),報告用!$AL$4:$AL$39,報告用!$G$4:$G$39,"",FALSE)</f>
        <v>土田　茂</v>
      </c>
      <c r="P28" s="124" t="str">
        <f t="shared" si="4"/>
        <v>様</v>
      </c>
      <c r="Q28" s="120" t="str">
        <f>IF(_xlfn.XLOOKUP(ROW(Q28)+1-ROW(Q$18),報告用!$AL$4:$AL$39,報告用!$E$4:$E$39,"",FALSE)=N28,"",_xlfn.XLOOKUP(ROW(Q28)+1-ROW(Q$18),報告用!$AL$4:$AL$39,報告用!$E$4:$E$39,"",FALSE))</f>
        <v/>
      </c>
    </row>
    <row r="29" spans="1:17" ht="15.95" customHeight="1" thickBot="1">
      <c r="A29" s="187"/>
      <c r="B29" s="125" t="str">
        <f>_xlfn.XLOOKUP(ROW(B29)+1-ROW(B$22),報告用!$AD$4:$AD$39,報告用!F$4:F$39,"",FALSE)</f>
        <v/>
      </c>
      <c r="C29" s="126" t="str">
        <f>_xlfn.XLOOKUP(ROW(C29)+1-ROW(C$22),報告用!$AD$4:$AD$39,報告用!G$4:G$39,"",FALSE)</f>
        <v/>
      </c>
      <c r="D29" s="127" t="str">
        <f t="shared" si="5"/>
        <v/>
      </c>
      <c r="E29" s="128" t="str">
        <f>IF(_xlfn.XLOOKUP(ROW(E29)+1-ROW(E$22),報告用!$AD$4:$AD$39,報告用!E$4:E$39,"",FALSE)=B29,"",_xlfn.XLOOKUP(ROW(E29)+1-ROW(E$22),報告用!$AD$4:$AD$39,報告用!E$4:E$39,"",FALSE))</f>
        <v/>
      </c>
      <c r="F29" s="110"/>
      <c r="G29" s="180"/>
      <c r="H29" s="119">
        <f>_xlfn.XLOOKUP(ROW(H29)+1-ROW(H$18),報告用!$AK$4:$AK$39,報告用!$F$4:$F$39,"",FALSE)</f>
        <v>21</v>
      </c>
      <c r="I29" s="123" t="str">
        <f>_xlfn.XLOOKUP(ROW(I29)+1-ROW(I$18),報告用!$AK$4:$AK$39,報告用!$G$4:$G$39,"",FALSE)</f>
        <v>小林　國光</v>
      </c>
      <c r="J29" s="124" t="str">
        <f t="shared" si="3"/>
        <v>様</v>
      </c>
      <c r="K29" s="120">
        <f>IF(_xlfn.XLOOKUP(ROW(K29)+1-ROW(K$18),報告用!$AK$4:$AK$39,報告用!$E$4:$E$39,"",FALSE)=H29,"",_xlfn.XLOOKUP(ROW(K29)+1-ROW(K$18),報告用!$AK$4:$AK$39,報告用!$E$4:$E$39,"",FALSE))</f>
        <v>17</v>
      </c>
      <c r="L29" s="111"/>
      <c r="M29" s="180"/>
      <c r="N29" s="119">
        <f>_xlfn.XLOOKUP(ROW(N29)+1-ROW(N$18),報告用!$AL$4:$AL$39,報告用!$F$4:$F$39,"",FALSE)</f>
        <v>21</v>
      </c>
      <c r="O29" s="123" t="str">
        <f>_xlfn.XLOOKUP(ROW(O29)+1-ROW(O$18),報告用!$AL$4:$AL$39,報告用!$G$4:$G$39,"",FALSE)</f>
        <v>加納　鉄也</v>
      </c>
      <c r="P29" s="124" t="str">
        <f t="shared" si="4"/>
        <v>様</v>
      </c>
      <c r="Q29" s="120">
        <f>IF(_xlfn.XLOOKUP(ROW(Q29)+1-ROW(Q$18),報告用!$AL$4:$AL$39,報告用!$E$4:$E$39,"",FALSE)=N29,"",_xlfn.XLOOKUP(ROW(Q29)+1-ROW(Q$18),報告用!$AL$4:$AL$39,報告用!$E$4:$E$39,"",FALSE))</f>
        <v>16</v>
      </c>
    </row>
    <row r="30" spans="1:17" ht="15.95" customHeight="1" thickTop="1">
      <c r="A30" s="197" t="s">
        <v>94</v>
      </c>
      <c r="B30" s="119" t="str">
        <f>_xlfn.XLOOKUP(ROW(B30)+1-ROW(B$30),報告用!$AE$4:$AE$39,報告用!F$4:F$39,"",FALSE)</f>
        <v/>
      </c>
      <c r="C30" s="123" t="str">
        <f>_xlfn.XLOOKUP(ROW(C30)+1-ROW(C$30),報告用!$AE$4:$AE$39,報告用!G$4:G$39,"",FALSE)</f>
        <v/>
      </c>
      <c r="D30" s="124" t="str">
        <f>IF(C30="","","様")</f>
        <v/>
      </c>
      <c r="E30" s="120" t="str">
        <f>IF(_xlfn.XLOOKUP(ROW(E30)+1-ROW(E$30),報告用!$AE$4:$AE$39,報告用!E$4:E$39,"",FALSE)=B30,"",_xlfn.XLOOKUP(ROW(E30)+1-ROW(E$30),報告用!$AE$4:$AE$39,報告用!E$4:E$39,"",FALSE))</f>
        <v/>
      </c>
      <c r="F30" s="110"/>
      <c r="G30" s="180"/>
      <c r="H30" s="119">
        <f>_xlfn.XLOOKUP(ROW(H30)+1-ROW(H$18),報告用!$AK$4:$AK$39,報告用!$F$4:$F$39,"",FALSE)</f>
        <v>21</v>
      </c>
      <c r="I30" s="123" t="str">
        <f>_xlfn.XLOOKUP(ROW(I30)+1-ROW(I$18),報告用!$AK$4:$AK$39,報告用!$G$4:$G$39,"",FALSE)</f>
        <v>土田　茂</v>
      </c>
      <c r="J30" s="124" t="str">
        <f t="shared" si="3"/>
        <v>様</v>
      </c>
      <c r="K30" s="120" t="str">
        <f>IF(_xlfn.XLOOKUP(ROW(K30)+1-ROW(K$18),報告用!$AK$4:$AK$39,報告用!$E$4:$E$39,"",FALSE)=H30,"",_xlfn.XLOOKUP(ROW(K30)+1-ROW(K$18),報告用!$AK$4:$AK$39,報告用!$E$4:$E$39,"",FALSE))</f>
        <v/>
      </c>
      <c r="L30" s="111"/>
      <c r="M30" s="180"/>
      <c r="N30" s="119">
        <f>_xlfn.XLOOKUP(ROW(N30)+1-ROW(N$18),報告用!$AL$4:$AL$39,報告用!$F$4:$F$39,"",FALSE)</f>
        <v>22</v>
      </c>
      <c r="O30" s="123" t="str">
        <f>_xlfn.XLOOKUP(ROW(O30)+1-ROW(O$18),報告用!$AL$4:$AL$39,報告用!$G$4:$G$39,"",FALSE)</f>
        <v>小林　慶子</v>
      </c>
      <c r="P30" s="124" t="str">
        <f t="shared" si="4"/>
        <v>様</v>
      </c>
      <c r="Q30" s="120" t="str">
        <f>IF(_xlfn.XLOOKUP(ROW(Q30)+1-ROW(Q$18),報告用!$AL$4:$AL$39,報告用!$E$4:$E$39,"",FALSE)=N30,"",_xlfn.XLOOKUP(ROW(Q30)+1-ROW(Q$18),報告用!$AL$4:$AL$39,報告用!$E$4:$E$39,"",FALSE))</f>
        <v/>
      </c>
    </row>
    <row r="31" spans="1:17" ht="15.95" customHeight="1">
      <c r="A31" s="180"/>
      <c r="B31" s="119" t="str">
        <f>_xlfn.XLOOKUP(ROW(B31)+1-ROW(B$30),報告用!$AE$4:$AE$39,報告用!F$4:F$39,"",FALSE)</f>
        <v/>
      </c>
      <c r="C31" s="123" t="str">
        <f>_xlfn.XLOOKUP(ROW(C31)+1-ROW(C$30),報告用!$AE$4:$AE$39,報告用!G$4:G$39,"",FALSE)</f>
        <v/>
      </c>
      <c r="D31" s="124" t="str">
        <f t="shared" ref="D31:D34" si="6">IF(C31="","","様")</f>
        <v/>
      </c>
      <c r="E31" s="120" t="str">
        <f>IF(_xlfn.XLOOKUP(ROW(E31)+1-ROW(E$30),報告用!$AE$4:$AE$39,報告用!E$4:E$39,"",FALSE)=B31,"",_xlfn.XLOOKUP(ROW(E31)+1-ROW(E$30),報告用!$AE$4:$AE$39,報告用!E$4:E$39,"",FALSE))</f>
        <v/>
      </c>
      <c r="F31" s="110"/>
      <c r="G31" s="180"/>
      <c r="H31" s="119">
        <f>_xlfn.XLOOKUP(ROW(H31)+1-ROW(H$18),報告用!$AK$4:$AK$39,報告用!$F$4:$F$39,"",FALSE)</f>
        <v>21</v>
      </c>
      <c r="I31" s="123" t="str">
        <f>_xlfn.XLOOKUP(ROW(I31)+1-ROW(I$18),報告用!$AK$4:$AK$39,報告用!$G$4:$G$39,"",FALSE)</f>
        <v>加納　鉄也</v>
      </c>
      <c r="J31" s="124" t="str">
        <f t="shared" si="3"/>
        <v>様</v>
      </c>
      <c r="K31" s="120">
        <f>IF(_xlfn.XLOOKUP(ROW(K31)+1-ROW(K$18),報告用!$AK$4:$AK$39,報告用!$E$4:$E$39,"",FALSE)=H31,"",_xlfn.XLOOKUP(ROW(K31)+1-ROW(K$18),報告用!$AK$4:$AK$39,報告用!$E$4:$E$39,"",FALSE))</f>
        <v>16</v>
      </c>
      <c r="L31" s="111"/>
      <c r="M31" s="180"/>
      <c r="N31" s="119" t="str">
        <f>_xlfn.XLOOKUP(ROW(N31)+1-ROW(N$18),報告用!$AL$4:$AL$39,報告用!$F$4:$F$39,"",FALSE)</f>
        <v/>
      </c>
      <c r="O31" s="123" t="str">
        <f>_xlfn.XLOOKUP(ROW(O31)+1-ROW(O$18),報告用!$AL$4:$AL$39,報告用!$G$4:$G$39,"",FALSE)</f>
        <v/>
      </c>
      <c r="P31" s="124" t="str">
        <f t="shared" si="4"/>
        <v/>
      </c>
      <c r="Q31" s="120" t="str">
        <f>IF(_xlfn.XLOOKUP(ROW(Q31)+1-ROW(Q$18),報告用!$AL$4:$AL$39,報告用!$E$4:$E$39,"",FALSE)=N31,"",_xlfn.XLOOKUP(ROW(Q31)+1-ROW(Q$18),報告用!$AL$4:$AL$39,報告用!$E$4:$E$39,"",FALSE))</f>
        <v/>
      </c>
    </row>
    <row r="32" spans="1:17" ht="15.95" customHeight="1">
      <c r="A32" s="188"/>
      <c r="B32" s="119" t="str">
        <f>_xlfn.XLOOKUP(ROW(B32)+1-ROW(B$30),報告用!$AE$4:$AE$39,報告用!F$4:F$39,"",FALSE)</f>
        <v/>
      </c>
      <c r="C32" s="123" t="str">
        <f>_xlfn.XLOOKUP(ROW(C32)+1-ROW(C$30),報告用!$AE$4:$AE$39,報告用!G$4:G$39,"",FALSE)</f>
        <v/>
      </c>
      <c r="D32" s="124" t="str">
        <f t="shared" si="6"/>
        <v/>
      </c>
      <c r="E32" s="120" t="str">
        <f>IF(_xlfn.XLOOKUP(ROW(E32)+1-ROW(E$30),報告用!$AE$4:$AE$39,報告用!E$4:E$39,"",FALSE)=B32,"",_xlfn.XLOOKUP(ROW(E32)+1-ROW(E$30),報告用!$AE$4:$AE$39,報告用!E$4:E$39,"",FALSE))</f>
        <v/>
      </c>
      <c r="F32" s="110"/>
      <c r="G32" s="188"/>
      <c r="H32" s="119" t="str">
        <f>_xlfn.XLOOKUP(ROW(H32)+1-ROW(H$18),報告用!$AK$4:$AK$39,報告用!$F$4:$F$39,"",FALSE)</f>
        <v/>
      </c>
      <c r="I32" s="123" t="str">
        <f>_xlfn.XLOOKUP(ROW(I32)+1-ROW(I$18),報告用!$AK$4:$AK$39,報告用!$G$4:$G$39,"",FALSE)</f>
        <v/>
      </c>
      <c r="J32" s="124" t="str">
        <f t="shared" si="3"/>
        <v/>
      </c>
      <c r="K32" s="120" t="str">
        <f>IF(_xlfn.XLOOKUP(ROW(K32)+1-ROW(K$18),報告用!$AK$4:$AK$39,報告用!$E$4:$E$39,"",FALSE)=H32,"",_xlfn.XLOOKUP(ROW(K32)+1-ROW(K$18),報告用!$AK$4:$AK$39,報告用!$E$4:$E$39,"",FALSE))</f>
        <v/>
      </c>
      <c r="L32" s="111"/>
      <c r="M32" s="188"/>
      <c r="N32" s="119" t="str">
        <f>_xlfn.XLOOKUP(ROW(N32)+1-ROW(N$18),報告用!$AL$4:$AL$39,報告用!$F$4:$F$39,"",FALSE)</f>
        <v/>
      </c>
      <c r="O32" s="123" t="str">
        <f>_xlfn.XLOOKUP(ROW(O32)+1-ROW(O$18),報告用!$AL$4:$AL$39,報告用!$G$4:$G$39,"",FALSE)</f>
        <v/>
      </c>
      <c r="P32" s="124" t="str">
        <f t="shared" si="4"/>
        <v/>
      </c>
      <c r="Q32" s="120" t="str">
        <f>IF(_xlfn.XLOOKUP(ROW(Q32)+1-ROW(Q$18),報告用!$AL$4:$AL$39,報告用!$E$4:$E$39,"",FALSE)=N32,"",_xlfn.XLOOKUP(ROW(Q32)+1-ROW(Q$18),報告用!$AL$4:$AL$39,報告用!$E$4:$E$39,"",FALSE))</f>
        <v/>
      </c>
    </row>
    <row r="33" spans="1:17" ht="15.95" customHeight="1">
      <c r="A33" s="188"/>
      <c r="B33" s="119" t="str">
        <f>_xlfn.XLOOKUP(ROW(B33)+1-ROW(B$30),報告用!$AE$4:$AE$39,報告用!F$4:F$39,"",FALSE)</f>
        <v/>
      </c>
      <c r="C33" s="123" t="str">
        <f>_xlfn.XLOOKUP(ROW(C33)+1-ROW(C$30),報告用!$AE$4:$AE$39,報告用!G$4:G$39,"",FALSE)</f>
        <v/>
      </c>
      <c r="D33" s="124" t="str">
        <f t="shared" si="6"/>
        <v/>
      </c>
      <c r="E33" s="120" t="str">
        <f>IF(_xlfn.XLOOKUP(ROW(E33)+1-ROW(E$30),報告用!$AE$4:$AE$39,報告用!E$4:E$39,"",FALSE)=B33,"",_xlfn.XLOOKUP(ROW(E33)+1-ROW(E$30),報告用!$AE$4:$AE$39,報告用!E$4:E$39,"",FALSE))</f>
        <v/>
      </c>
      <c r="F33" s="110"/>
      <c r="G33" s="188"/>
      <c r="H33" s="119" t="str">
        <f>_xlfn.XLOOKUP(ROW(H33)+1-ROW(H$18),報告用!$AK$4:$AK$39,報告用!$F$4:$F$39,"",FALSE)</f>
        <v/>
      </c>
      <c r="I33" s="123" t="str">
        <f>_xlfn.XLOOKUP(ROW(I33)+1-ROW(I$18),報告用!$AK$4:$AK$39,報告用!$G$4:$G$39,"",FALSE)</f>
        <v/>
      </c>
      <c r="J33" s="124" t="str">
        <f t="shared" si="3"/>
        <v/>
      </c>
      <c r="K33" s="120" t="str">
        <f>IF(_xlfn.XLOOKUP(ROW(K33)+1-ROW(K$18),報告用!$AK$4:$AK$39,報告用!$E$4:$E$39,"",FALSE)=H33,"",_xlfn.XLOOKUP(ROW(K33)+1-ROW(K$18),報告用!$AK$4:$AK$39,報告用!$E$4:$E$39,"",FALSE))</f>
        <v/>
      </c>
      <c r="L33" s="111"/>
      <c r="M33" s="188"/>
      <c r="N33" s="119" t="str">
        <f>_xlfn.XLOOKUP(ROW(N33)+1-ROW(N$18),報告用!$AL$4:$AL$39,報告用!$F$4:$F$39,"",FALSE)</f>
        <v/>
      </c>
      <c r="O33" s="123" t="str">
        <f>_xlfn.XLOOKUP(ROW(O33)+1-ROW(O$18),報告用!$AL$4:$AL$39,報告用!$G$4:$G$39,"",FALSE)</f>
        <v/>
      </c>
      <c r="P33" s="124" t="str">
        <f t="shared" si="4"/>
        <v/>
      </c>
      <c r="Q33" s="120" t="str">
        <f>IF(_xlfn.XLOOKUP(ROW(Q33)+1-ROW(Q$18),報告用!$AL$4:$AL$39,報告用!$E$4:$E$39,"",FALSE)=N33,"",_xlfn.XLOOKUP(ROW(Q33)+1-ROW(Q$18),報告用!$AL$4:$AL$39,報告用!$E$4:$E$39,"",FALSE))</f>
        <v/>
      </c>
    </row>
    <row r="34" spans="1:17" ht="15.95" customHeight="1" thickBot="1">
      <c r="A34" s="181"/>
      <c r="B34" s="132" t="str">
        <f>_xlfn.XLOOKUP(ROW(B34)+1-ROW(B$30),報告用!$AE$4:$AE$39,報告用!F$4:F$39,"",FALSE)</f>
        <v/>
      </c>
      <c r="C34" s="133" t="str">
        <f>_xlfn.XLOOKUP(ROW(C34)+1-ROW(C$30),報告用!$AE$4:$AE$39,報告用!G$4:G$39,"",FALSE)</f>
        <v/>
      </c>
      <c r="D34" s="134" t="str">
        <f t="shared" si="6"/>
        <v/>
      </c>
      <c r="E34" s="135" t="str">
        <f>IF(_xlfn.XLOOKUP(ROW(E34)+1-ROW(E$30),報告用!$AE$4:$AE$39,報告用!E$4:E$39,"",FALSE)=B34,"",_xlfn.XLOOKUP(ROW(E34)+1-ROW(E$30),報告用!$AE$4:$AE$39,報告用!E$4:E$39,"",FALSE))</f>
        <v/>
      </c>
      <c r="F34" s="110"/>
      <c r="G34" s="181"/>
      <c r="H34" s="132" t="str">
        <f>_xlfn.XLOOKUP(ROW(H34)+1-ROW(H$18),報告用!$AK$4:$AK$39,報告用!$F$4:$F$39,"",FALSE)</f>
        <v/>
      </c>
      <c r="I34" s="133" t="str">
        <f>_xlfn.XLOOKUP(ROW(I34)+1-ROW(I$18),報告用!$AK$4:$AK$39,報告用!$G$4:$G$39,"",FALSE)</f>
        <v/>
      </c>
      <c r="J34" s="134" t="str">
        <f t="shared" si="3"/>
        <v/>
      </c>
      <c r="K34" s="135" t="str">
        <f>IF(_xlfn.XLOOKUP(ROW(K34)+1-ROW(K$18),報告用!$AK$4:$AK$39,報告用!$E$4:$E$39,"",FALSE)=H34,"",_xlfn.XLOOKUP(ROW(K34)+1-ROW(K$18),報告用!$AK$4:$AK$39,報告用!$E$4:$E$39,"",FALSE))</f>
        <v/>
      </c>
      <c r="L34" s="111"/>
      <c r="M34" s="181"/>
      <c r="N34" s="132" t="str">
        <f>_xlfn.XLOOKUP(ROW(N34)+1-ROW(N$18),報告用!$AL$4:$AL$39,報告用!$F$4:$F$39,"",FALSE)</f>
        <v/>
      </c>
      <c r="O34" s="133" t="str">
        <f>_xlfn.XLOOKUP(ROW(O34)+1-ROW(O$18),報告用!$AL$4:$AL$39,報告用!$G$4:$G$39,"",FALSE)</f>
        <v/>
      </c>
      <c r="P34" s="134" t="str">
        <f t="shared" si="4"/>
        <v/>
      </c>
      <c r="Q34" s="135" t="str">
        <f>IF(_xlfn.XLOOKUP(ROW(Q34)+1-ROW(Q$18),報告用!$AL$4:$AL$39,報告用!$E$4:$E$39,"",FALSE)=N34,"",_xlfn.XLOOKUP(ROW(Q34)+1-ROW(Q$18),報告用!$AL$4:$AL$39,報告用!$E$4:$E$39,"",FALSE))</f>
        <v/>
      </c>
    </row>
    <row r="35" spans="1:17" ht="15.95" customHeight="1">
      <c r="A35" s="110"/>
      <c r="B35" s="110"/>
      <c r="C35" s="110"/>
      <c r="D35" s="110"/>
      <c r="E35" s="110"/>
      <c r="F35" s="110"/>
      <c r="G35" s="192" t="s">
        <v>40</v>
      </c>
      <c r="H35" s="192"/>
      <c r="I35" s="192"/>
      <c r="J35" s="192"/>
      <c r="K35" s="192"/>
      <c r="L35" s="110"/>
      <c r="M35" s="110"/>
      <c r="N35" s="110"/>
      <c r="O35" s="110"/>
      <c r="P35" s="110"/>
      <c r="Q35" s="110"/>
    </row>
    <row r="36" spans="1:17" ht="15.95" customHeight="1" thickBot="1">
      <c r="A36" s="193" t="s">
        <v>50</v>
      </c>
      <c r="B36" s="193"/>
      <c r="C36" s="193"/>
      <c r="D36" s="193"/>
      <c r="E36" s="193"/>
      <c r="F36" s="110"/>
      <c r="G36" s="200"/>
      <c r="H36" s="200"/>
      <c r="I36" s="200"/>
      <c r="J36" s="200"/>
      <c r="K36" s="200"/>
      <c r="L36" s="110"/>
      <c r="M36" s="194">
        <f>報告用!$O$2</f>
        <v>46106</v>
      </c>
      <c r="N36" s="194"/>
      <c r="O36" s="194"/>
      <c r="P36" s="194"/>
      <c r="Q36" s="194"/>
    </row>
    <row r="37" spans="1:17" ht="15.95" customHeight="1">
      <c r="A37" s="186" t="s">
        <v>31</v>
      </c>
      <c r="B37" s="182" t="s">
        <v>38</v>
      </c>
      <c r="C37" s="182"/>
      <c r="D37" s="182"/>
      <c r="E37" s="183"/>
      <c r="F37" s="110"/>
      <c r="G37" s="186" t="s">
        <v>31</v>
      </c>
      <c r="H37" s="182" t="s">
        <v>39</v>
      </c>
      <c r="I37" s="182"/>
      <c r="J37" s="182"/>
      <c r="K37" s="183"/>
      <c r="L37" s="111"/>
      <c r="M37" s="186" t="s">
        <v>31</v>
      </c>
      <c r="N37" s="182" t="s">
        <v>22</v>
      </c>
      <c r="O37" s="182"/>
      <c r="P37" s="182"/>
      <c r="Q37" s="183"/>
    </row>
    <row r="38" spans="1:17" ht="15.95" customHeight="1" thickBot="1">
      <c r="A38" s="187"/>
      <c r="B38" s="112" t="s">
        <v>18</v>
      </c>
      <c r="C38" s="184" t="s">
        <v>17</v>
      </c>
      <c r="D38" s="185"/>
      <c r="E38" s="114" t="s">
        <v>30</v>
      </c>
      <c r="F38" s="110"/>
      <c r="G38" s="187"/>
      <c r="H38" s="112" t="s">
        <v>18</v>
      </c>
      <c r="I38" s="184" t="s">
        <v>17</v>
      </c>
      <c r="J38" s="185"/>
      <c r="K38" s="114" t="s">
        <v>30</v>
      </c>
      <c r="L38" s="111"/>
      <c r="M38" s="187"/>
      <c r="N38" s="112" t="s">
        <v>18</v>
      </c>
      <c r="O38" s="184" t="s">
        <v>17</v>
      </c>
      <c r="P38" s="185"/>
      <c r="Q38" s="114" t="s">
        <v>30</v>
      </c>
    </row>
    <row r="39" spans="1:17" ht="15.95" customHeight="1" thickTop="1">
      <c r="A39" s="188" t="s">
        <v>35</v>
      </c>
      <c r="B39" s="117">
        <f>_xlfn.XLOOKUP(ROW(B39)+1-ROW(B$39),報告用!$AH$4:$AH$39,報告用!$F$4:$F$39,"",FALSE)</f>
        <v>15</v>
      </c>
      <c r="C39" s="129" t="str">
        <f>_xlfn.XLOOKUP(ROW(C39)+1-ROW(C$39),報告用!$AH$4:$AH$39,報告用!$G$4:$G$39,"",FALSE)</f>
        <v>志村とも子</v>
      </c>
      <c r="D39" s="130" t="str">
        <f>IF(C39="","","様")</f>
        <v>様</v>
      </c>
      <c r="E39" s="118" t="str">
        <f>IF(_xlfn.XLOOKUP(ROW(E39)+1-ROW(E$39),報告用!$AH$4:$AH$39,報告用!$E$4:$E$39,"",FALSE)=B39,"",_xlfn.XLOOKUP(ROW(E39)+1-ROW(E$39),報告用!$AH$4:$AH$39,報告用!$E$4:$E$39,"",FALSE))</f>
        <v/>
      </c>
      <c r="F39" s="110"/>
      <c r="G39" s="188" t="s">
        <v>35</v>
      </c>
      <c r="H39" s="117">
        <f>_xlfn.XLOOKUP(ROW(H39)+1-ROW(H$39),報告用!$AI$4:$AI$39,報告用!$F$4:$F$39,"",FALSE)</f>
        <v>15</v>
      </c>
      <c r="I39" s="129" t="str">
        <f>_xlfn.XLOOKUP(ROW(I39)+1-ROW(I$39),報告用!$AI$4:$AI$39,報告用!$G$4:$G$39,"",FALSE)</f>
        <v>志村とも子</v>
      </c>
      <c r="J39" s="130" t="str">
        <f>IF(I39="","","様")</f>
        <v>様</v>
      </c>
      <c r="K39" s="118" t="str">
        <f>IF(_xlfn.XLOOKUP(ROW(K39)+1-ROW(K$39),報告用!$AI$4:$AI$39,報告用!$E$4:$E$39,"",FALSE)=H39,"",_xlfn.XLOOKUP(ROW(K39)+1-ROW(K$39),報告用!$AI$4:$AI$39,報告用!$E$4:$E$39,"",FALSE))</f>
        <v/>
      </c>
      <c r="L39" s="111"/>
      <c r="M39" s="188" t="s">
        <v>35</v>
      </c>
      <c r="N39" s="117">
        <f>_xlfn.XLOOKUP(ROW(N39)+1-ROW(N$39),報告用!$AJ$4:$AJ$39,報告用!$F$4:$F$39,"",FALSE)</f>
        <v>15</v>
      </c>
      <c r="O39" s="129" t="str">
        <f>_xlfn.XLOOKUP(ROW(O39)+1-ROW(O$39),報告用!$AJ$4:$AJ$39,報告用!$G$4:$G$39,"",FALSE)</f>
        <v>志村とも子</v>
      </c>
      <c r="P39" s="130" t="str">
        <f>IF(O39="","","様")</f>
        <v>様</v>
      </c>
      <c r="Q39" s="118" t="str">
        <f>IF(_xlfn.XLOOKUP(ROW(Q39)+1-ROW(Q$39),報告用!$AJ$4:$AJ$39,報告用!$E$4:$E$39,"",FALSE)=N39,"",_xlfn.XLOOKUP(ROW(Q39)+1-ROW(Q$39),報告用!$AJ$4:$AJ$39,報告用!$E$4:$E$39,"",FALSE))</f>
        <v/>
      </c>
    </row>
    <row r="40" spans="1:17" ht="15.95" customHeight="1">
      <c r="A40" s="189"/>
      <c r="B40" s="119">
        <f>_xlfn.XLOOKUP(ROW(B40)+1-ROW(B$39),報告用!$AH$4:$AH$39,報告用!$F$4:$F$39,"",FALSE)</f>
        <v>15</v>
      </c>
      <c r="C40" s="123" t="str">
        <f>_xlfn.XLOOKUP(ROW(C40)+1-ROW(C$39),報告用!$AH$4:$AH$39,報告用!$G$4:$G$39,"",FALSE)</f>
        <v>飯室　純江</v>
      </c>
      <c r="D40" s="124" t="str">
        <f t="shared" ref="D40:D51" si="7">IF(C40="","","様")</f>
        <v>様</v>
      </c>
      <c r="E40" s="120" t="str">
        <f>IF(_xlfn.XLOOKUP(ROW(E40)+1-ROW(E$39),報告用!$AH$4:$AH$39,報告用!$E$4:$E$39,"",FALSE)=B40,"",_xlfn.XLOOKUP(ROW(E40)+1-ROW(E$39),報告用!$AH$4:$AH$39,報告用!$E$4:$E$39,"",FALSE))</f>
        <v/>
      </c>
      <c r="F40" s="110"/>
      <c r="G40" s="189"/>
      <c r="H40" s="119">
        <f>_xlfn.XLOOKUP(ROW(H40)+1-ROW(H$39),報告用!$AI$4:$AI$39,報告用!$F$4:$F$39,"",FALSE)</f>
        <v>15</v>
      </c>
      <c r="I40" s="123" t="str">
        <f>_xlfn.XLOOKUP(ROW(I40)+1-ROW(I$39),報告用!$AI$4:$AI$39,報告用!$G$4:$G$39,"",FALSE)</f>
        <v>望月　美希</v>
      </c>
      <c r="J40" s="124" t="str">
        <f t="shared" ref="J40:J51" si="8">IF(I40="","","様")</f>
        <v>様</v>
      </c>
      <c r="K40" s="120" t="str">
        <f>IF(_xlfn.XLOOKUP(ROW(K40)+1-ROW(K$39),報告用!$AI$4:$AI$39,報告用!$E$4:$E$39,"",FALSE)=H40,"",_xlfn.XLOOKUP(ROW(K40)+1-ROW(K$39),報告用!$AI$4:$AI$39,報告用!$E$4:$E$39,"",FALSE))</f>
        <v/>
      </c>
      <c r="L40" s="111"/>
      <c r="M40" s="189"/>
      <c r="N40" s="119">
        <f>_xlfn.XLOOKUP(ROW(N40)+1-ROW(N$39),報告用!$AJ$4:$AJ$39,報告用!$F$4:$F$39,"",FALSE)</f>
        <v>16</v>
      </c>
      <c r="O40" s="123" t="str">
        <f>_xlfn.XLOOKUP(ROW(O40)+1-ROW(O$39),報告用!$AJ$4:$AJ$39,報告用!$G$4:$G$39,"",FALSE)</f>
        <v>里吉　松子</v>
      </c>
      <c r="P40" s="124" t="str">
        <f t="shared" ref="P40:P51" si="9">IF(O40="","","様")</f>
        <v>様</v>
      </c>
      <c r="Q40" s="120" t="str">
        <f>IF(_xlfn.XLOOKUP(ROW(Q40)+1-ROW(Q$39),報告用!$AJ$4:$AJ$39,報告用!$E$4:$E$39,"",FALSE)=N40,"",_xlfn.XLOOKUP(ROW(Q40)+1-ROW(Q$39),報告用!$AJ$4:$AJ$39,報告用!$E$4:$E$39,"",FALSE))</f>
        <v/>
      </c>
    </row>
    <row r="41" spans="1:17" ht="15.95" customHeight="1">
      <c r="A41" s="189"/>
      <c r="B41" s="119">
        <f>_xlfn.XLOOKUP(ROW(B41)+1-ROW(B$39),報告用!$AH$4:$AH$39,報告用!$F$4:$F$39,"",FALSE)</f>
        <v>16</v>
      </c>
      <c r="C41" s="123" t="str">
        <f>_xlfn.XLOOKUP(ROW(C41)+1-ROW(C$39),報告用!$AH$4:$AH$39,報告用!$G$4:$G$39,"",FALSE)</f>
        <v>里吉　松子</v>
      </c>
      <c r="D41" s="124" t="str">
        <f t="shared" si="7"/>
        <v>様</v>
      </c>
      <c r="E41" s="120" t="str">
        <f>IF(_xlfn.XLOOKUP(ROW(E41)+1-ROW(E$39),報告用!$AH$4:$AH$39,報告用!$E$4:$E$39,"",FALSE)=B41,"",_xlfn.XLOOKUP(ROW(E41)+1-ROW(E$39),報告用!$AH$4:$AH$39,報告用!$E$4:$E$39,"",FALSE))</f>
        <v/>
      </c>
      <c r="F41" s="110"/>
      <c r="G41" s="189"/>
      <c r="H41" s="119">
        <f>_xlfn.XLOOKUP(ROW(H41)+1-ROW(H$39),報告用!$AI$4:$AI$39,報告用!$F$4:$F$39,"",FALSE)</f>
        <v>16</v>
      </c>
      <c r="I41" s="123" t="str">
        <f>_xlfn.XLOOKUP(ROW(I41)+1-ROW(I$39),報告用!$AI$4:$AI$39,報告用!$G$4:$G$39,"",FALSE)</f>
        <v>里吉　松子</v>
      </c>
      <c r="J41" s="124" t="str">
        <f t="shared" si="8"/>
        <v>様</v>
      </c>
      <c r="K41" s="120" t="str">
        <f>IF(_xlfn.XLOOKUP(ROW(K41)+1-ROW(K$39),報告用!$AI$4:$AI$39,報告用!$E$4:$E$39,"",FALSE)=H41,"",_xlfn.XLOOKUP(ROW(K41)+1-ROW(K$39),報告用!$AI$4:$AI$39,報告用!$E$4:$E$39,"",FALSE))</f>
        <v/>
      </c>
      <c r="L41" s="111"/>
      <c r="M41" s="189"/>
      <c r="N41" s="119">
        <f>_xlfn.XLOOKUP(ROW(N41)+1-ROW(N$39),報告用!$AJ$4:$AJ$39,報告用!$F$4:$F$39,"",FALSE)</f>
        <v>16</v>
      </c>
      <c r="O41" s="123" t="str">
        <f>_xlfn.XLOOKUP(ROW(O41)+1-ROW(O$39),報告用!$AJ$4:$AJ$39,報告用!$G$4:$G$39,"",FALSE)</f>
        <v>森　たい子</v>
      </c>
      <c r="P41" s="124" t="str">
        <f t="shared" si="9"/>
        <v>様</v>
      </c>
      <c r="Q41" s="120" t="str">
        <f>IF(_xlfn.XLOOKUP(ROW(Q41)+1-ROW(Q$39),報告用!$AJ$4:$AJ$39,報告用!$E$4:$E$39,"",FALSE)=N41,"",_xlfn.XLOOKUP(ROW(Q41)+1-ROW(Q$39),報告用!$AJ$4:$AJ$39,報告用!$E$4:$E$39,"",FALSE))</f>
        <v/>
      </c>
    </row>
    <row r="42" spans="1:17" ht="15.95" customHeight="1">
      <c r="A42" s="189"/>
      <c r="B42" s="119">
        <f>_xlfn.XLOOKUP(ROW(B42)+1-ROW(B$39),報告用!$AH$4:$AH$39,報告用!$F$4:$F$39,"",FALSE)</f>
        <v>16</v>
      </c>
      <c r="C42" s="123" t="str">
        <f>_xlfn.XLOOKUP(ROW(C42)+1-ROW(C$39),報告用!$AH$4:$AH$39,報告用!$G$4:$G$39,"",FALSE)</f>
        <v>森　たい子</v>
      </c>
      <c r="D42" s="124" t="str">
        <f t="shared" si="7"/>
        <v>様</v>
      </c>
      <c r="E42" s="120" t="str">
        <f>IF(_xlfn.XLOOKUP(ROW(E42)+1-ROW(E$39),報告用!$AH$4:$AH$39,報告用!$E$4:$E$39,"",FALSE)=B42,"",_xlfn.XLOOKUP(ROW(E42)+1-ROW(E$39),報告用!$AH$4:$AH$39,報告用!$E$4:$E$39,"",FALSE))</f>
        <v/>
      </c>
      <c r="F42" s="110"/>
      <c r="G42" s="189"/>
      <c r="H42" s="119">
        <f>_xlfn.XLOOKUP(ROW(H42)+1-ROW(H$39),報告用!$AI$4:$AI$39,報告用!$F$4:$F$39,"",FALSE)</f>
        <v>16</v>
      </c>
      <c r="I42" s="123" t="str">
        <f>_xlfn.XLOOKUP(ROW(I42)+1-ROW(I$39),報告用!$AI$4:$AI$39,報告用!$G$4:$G$39,"",FALSE)</f>
        <v>森　たい子</v>
      </c>
      <c r="J42" s="124" t="str">
        <f t="shared" si="8"/>
        <v>様</v>
      </c>
      <c r="K42" s="120" t="str">
        <f>IF(_xlfn.XLOOKUP(ROW(K42)+1-ROW(K$39),報告用!$AI$4:$AI$39,報告用!$E$4:$E$39,"",FALSE)=H42,"",_xlfn.XLOOKUP(ROW(K42)+1-ROW(K$39),報告用!$AI$4:$AI$39,報告用!$E$4:$E$39,"",FALSE))</f>
        <v/>
      </c>
      <c r="L42" s="111"/>
      <c r="M42" s="189"/>
      <c r="N42" s="119">
        <f>_xlfn.XLOOKUP(ROW(N42)+1-ROW(N$39),報告用!$AJ$4:$AJ$39,報告用!$F$4:$F$39,"",FALSE)</f>
        <v>17</v>
      </c>
      <c r="O42" s="123" t="str">
        <f>_xlfn.XLOOKUP(ROW(O42)+1-ROW(O$39),報告用!$AJ$4:$AJ$39,報告用!$G$4:$G$39,"",FALSE)</f>
        <v>河野　秀夫</v>
      </c>
      <c r="P42" s="124" t="str">
        <f t="shared" si="9"/>
        <v>様</v>
      </c>
      <c r="Q42" s="120" t="str">
        <f>IF(_xlfn.XLOOKUP(ROW(Q42)+1-ROW(Q$39),報告用!$AJ$4:$AJ$39,報告用!$E$4:$E$39,"",FALSE)=N42,"",_xlfn.XLOOKUP(ROW(Q42)+1-ROW(Q$39),報告用!$AJ$4:$AJ$39,報告用!$E$4:$E$39,"",FALSE))</f>
        <v/>
      </c>
    </row>
    <row r="43" spans="1:17" ht="15.95" customHeight="1">
      <c r="A43" s="189"/>
      <c r="B43" s="119">
        <f>_xlfn.XLOOKUP(ROW(B43)+1-ROW(B$39),報告用!$AH$4:$AH$39,報告用!$F$4:$F$39,"",FALSE)</f>
        <v>17</v>
      </c>
      <c r="C43" s="123" t="str">
        <f>_xlfn.XLOOKUP(ROW(C43)+1-ROW(C$39),報告用!$AH$4:$AH$39,報告用!$G$4:$G$39,"",FALSE)</f>
        <v>河野　秀夫</v>
      </c>
      <c r="D43" s="124" t="str">
        <f t="shared" si="7"/>
        <v>様</v>
      </c>
      <c r="E43" s="120" t="str">
        <f>IF(_xlfn.XLOOKUP(ROW(E43)+1-ROW(E$39),報告用!$AH$4:$AH$39,報告用!$E$4:$E$39,"",FALSE)=B43,"",_xlfn.XLOOKUP(ROW(E43)+1-ROW(E$39),報告用!$AH$4:$AH$39,報告用!$E$4:$E$39,"",FALSE))</f>
        <v/>
      </c>
      <c r="F43" s="110"/>
      <c r="G43" s="189"/>
      <c r="H43" s="119">
        <f>_xlfn.XLOOKUP(ROW(H43)+1-ROW(H$39),報告用!$AI$4:$AI$39,報告用!$F$4:$F$39,"",FALSE)</f>
        <v>17</v>
      </c>
      <c r="I43" s="123" t="str">
        <f>_xlfn.XLOOKUP(ROW(I43)+1-ROW(I$39),報告用!$AI$4:$AI$39,報告用!$G$4:$G$39,"",FALSE)</f>
        <v>河野　秀夫</v>
      </c>
      <c r="J43" s="124" t="str">
        <f t="shared" si="8"/>
        <v>様</v>
      </c>
      <c r="K43" s="120" t="str">
        <f>IF(_xlfn.XLOOKUP(ROW(K43)+1-ROW(K$39),報告用!$AI$4:$AI$39,報告用!$E$4:$E$39,"",FALSE)=H43,"",_xlfn.XLOOKUP(ROW(K43)+1-ROW(K$39),報告用!$AI$4:$AI$39,報告用!$E$4:$E$39,"",FALSE))</f>
        <v/>
      </c>
      <c r="L43" s="111"/>
      <c r="M43" s="189"/>
      <c r="N43" s="119">
        <f>_xlfn.XLOOKUP(ROW(N43)+1-ROW(N$39),報告用!$AJ$4:$AJ$39,報告用!$F$4:$F$39,"",FALSE)</f>
        <v>17</v>
      </c>
      <c r="O43" s="123" t="str">
        <f>_xlfn.XLOOKUP(ROW(O43)+1-ROW(O$39),報告用!$AJ$4:$AJ$39,報告用!$G$4:$G$39,"",FALSE)</f>
        <v>斎藤　潤一</v>
      </c>
      <c r="P43" s="124" t="str">
        <f t="shared" si="9"/>
        <v>様</v>
      </c>
      <c r="Q43" s="120" t="str">
        <f>IF(_xlfn.XLOOKUP(ROW(Q43)+1-ROW(Q$39),報告用!$AJ$4:$AJ$39,報告用!$E$4:$E$39,"",FALSE)=N43,"",_xlfn.XLOOKUP(ROW(Q43)+1-ROW(Q$39),報告用!$AJ$4:$AJ$39,報告用!$E$4:$E$39,"",FALSE))</f>
        <v/>
      </c>
    </row>
    <row r="44" spans="1:17" ht="15.95" customHeight="1">
      <c r="A44" s="189"/>
      <c r="B44" s="119">
        <f>_xlfn.XLOOKUP(ROW(B44)+1-ROW(B$39),報告用!$AH$4:$AH$39,報告用!$F$4:$F$39,"",FALSE)</f>
        <v>17</v>
      </c>
      <c r="C44" s="123" t="str">
        <f>_xlfn.XLOOKUP(ROW(C44)+1-ROW(C$39),報告用!$AH$4:$AH$39,報告用!$G$4:$G$39,"",FALSE)</f>
        <v>斎藤　潤一</v>
      </c>
      <c r="D44" s="124" t="str">
        <f t="shared" si="7"/>
        <v>様</v>
      </c>
      <c r="E44" s="120" t="str">
        <f>IF(_xlfn.XLOOKUP(ROW(E44)+1-ROW(E$39),報告用!$AH$4:$AH$39,報告用!$E$4:$E$39,"",FALSE)=B44,"",_xlfn.XLOOKUP(ROW(E44)+1-ROW(E$39),報告用!$AH$4:$AH$39,報告用!$E$4:$E$39,"",FALSE))</f>
        <v/>
      </c>
      <c r="F44" s="110"/>
      <c r="G44" s="189"/>
      <c r="H44" s="119">
        <f>_xlfn.XLOOKUP(ROW(H44)+1-ROW(H$39),報告用!$AI$4:$AI$39,報告用!$F$4:$F$39,"",FALSE)</f>
        <v>17</v>
      </c>
      <c r="I44" s="123" t="str">
        <f>_xlfn.XLOOKUP(ROW(I44)+1-ROW(I$39),報告用!$AI$4:$AI$39,報告用!$G$4:$G$39,"",FALSE)</f>
        <v>斎藤　潤一</v>
      </c>
      <c r="J44" s="124" t="str">
        <f t="shared" si="8"/>
        <v>様</v>
      </c>
      <c r="K44" s="120" t="str">
        <f>IF(_xlfn.XLOOKUP(ROW(K44)+1-ROW(K$39),報告用!$AI$4:$AI$39,報告用!$E$4:$E$39,"",FALSE)=H44,"",_xlfn.XLOOKUP(ROW(K44)+1-ROW(K$39),報告用!$AI$4:$AI$39,報告用!$E$4:$E$39,"",FALSE))</f>
        <v/>
      </c>
      <c r="L44" s="111"/>
      <c r="M44" s="189"/>
      <c r="N44" s="119">
        <f>_xlfn.XLOOKUP(ROW(N44)+1-ROW(N$39),報告用!$AJ$4:$AJ$39,報告用!$F$4:$F$39,"",FALSE)</f>
        <v>17</v>
      </c>
      <c r="O44" s="123" t="str">
        <f>_xlfn.XLOOKUP(ROW(O44)+1-ROW(O$39),報告用!$AJ$4:$AJ$39,報告用!$G$4:$G$39,"",FALSE)</f>
        <v>小澤　俊治</v>
      </c>
      <c r="P44" s="124" t="str">
        <f t="shared" si="9"/>
        <v>様</v>
      </c>
      <c r="Q44" s="120" t="str">
        <f>IF(_xlfn.XLOOKUP(ROW(Q44)+1-ROW(Q$39),報告用!$AJ$4:$AJ$39,報告用!$E$4:$E$39,"",FALSE)=N44,"",_xlfn.XLOOKUP(ROW(Q44)+1-ROW(Q$39),報告用!$AJ$4:$AJ$39,報告用!$E$4:$E$39,"",FALSE))</f>
        <v/>
      </c>
    </row>
    <row r="45" spans="1:17" ht="15.95" customHeight="1">
      <c r="A45" s="189"/>
      <c r="B45" s="119">
        <f>_xlfn.XLOOKUP(ROW(B45)+1-ROW(B$39),報告用!$AH$4:$AH$39,報告用!$F$4:$F$39,"",FALSE)</f>
        <v>17</v>
      </c>
      <c r="C45" s="123" t="str">
        <f>_xlfn.XLOOKUP(ROW(C45)+1-ROW(C$39),報告用!$AH$4:$AH$39,報告用!$G$4:$G$39,"",FALSE)</f>
        <v>小澤　俊治</v>
      </c>
      <c r="D45" s="124" t="str">
        <f t="shared" si="7"/>
        <v>様</v>
      </c>
      <c r="E45" s="120" t="str">
        <f>IF(_xlfn.XLOOKUP(ROW(E45)+1-ROW(E$39),報告用!$AH$4:$AH$39,報告用!$E$4:$E$39,"",FALSE)=B45,"",_xlfn.XLOOKUP(ROW(E45)+1-ROW(E$39),報告用!$AH$4:$AH$39,報告用!$E$4:$E$39,"",FALSE))</f>
        <v/>
      </c>
      <c r="F45" s="110"/>
      <c r="G45" s="189"/>
      <c r="H45" s="119">
        <f>_xlfn.XLOOKUP(ROW(H45)+1-ROW(H$39),報告用!$AI$4:$AI$39,報告用!$F$4:$F$39,"",FALSE)</f>
        <v>17</v>
      </c>
      <c r="I45" s="123" t="str">
        <f>_xlfn.XLOOKUP(ROW(I45)+1-ROW(I$39),報告用!$AI$4:$AI$39,報告用!$G$4:$G$39,"",FALSE)</f>
        <v>小澤　俊治</v>
      </c>
      <c r="J45" s="124" t="str">
        <f t="shared" si="8"/>
        <v>様</v>
      </c>
      <c r="K45" s="120" t="str">
        <f>IF(_xlfn.XLOOKUP(ROW(K45)+1-ROW(K$39),報告用!$AI$4:$AI$39,報告用!$E$4:$E$39,"",FALSE)=H45,"",_xlfn.XLOOKUP(ROW(K45)+1-ROW(K$39),報告用!$AI$4:$AI$39,報告用!$E$4:$E$39,"",FALSE))</f>
        <v/>
      </c>
      <c r="L45" s="111"/>
      <c r="M45" s="189"/>
      <c r="N45" s="119">
        <f>_xlfn.XLOOKUP(ROW(N45)+1-ROW(N$39),報告用!$AJ$4:$AJ$39,報告用!$F$4:$F$39,"",FALSE)</f>
        <v>18</v>
      </c>
      <c r="O45" s="123" t="str">
        <f>_xlfn.XLOOKUP(ROW(O45)+1-ROW(O$39),報告用!$AJ$4:$AJ$39,報告用!$G$4:$G$39,"",FALSE)</f>
        <v>吉井　用子</v>
      </c>
      <c r="P45" s="124" t="str">
        <f t="shared" si="9"/>
        <v>様</v>
      </c>
      <c r="Q45" s="120" t="str">
        <f>IF(_xlfn.XLOOKUP(ROW(Q45)+1-ROW(Q$39),報告用!$AJ$4:$AJ$39,報告用!$E$4:$E$39,"",FALSE)=N45,"",_xlfn.XLOOKUP(ROW(Q45)+1-ROW(Q$39),報告用!$AJ$4:$AJ$39,報告用!$E$4:$E$39,"",FALSE))</f>
        <v/>
      </c>
    </row>
    <row r="46" spans="1:17" ht="15.95" customHeight="1">
      <c r="A46" s="189"/>
      <c r="B46" s="119">
        <f>_xlfn.XLOOKUP(ROW(B46)+1-ROW(B$39),報告用!$AH$4:$AH$39,報告用!$F$4:$F$39,"",FALSE)</f>
        <v>18</v>
      </c>
      <c r="C46" s="123" t="str">
        <f>_xlfn.XLOOKUP(ROW(C46)+1-ROW(C$39),報告用!$AH$4:$AH$39,報告用!$G$4:$G$39,"",FALSE)</f>
        <v>吉井　用子</v>
      </c>
      <c r="D46" s="124" t="str">
        <f t="shared" si="7"/>
        <v>様</v>
      </c>
      <c r="E46" s="120" t="str">
        <f>IF(_xlfn.XLOOKUP(ROW(E46)+1-ROW(E$39),報告用!$AH$4:$AH$39,報告用!$E$4:$E$39,"",FALSE)=B46,"",_xlfn.XLOOKUP(ROW(E46)+1-ROW(E$39),報告用!$AH$4:$AH$39,報告用!$E$4:$E$39,"",FALSE))</f>
        <v/>
      </c>
      <c r="F46" s="110"/>
      <c r="G46" s="189"/>
      <c r="H46" s="119">
        <f>_xlfn.XLOOKUP(ROW(H46)+1-ROW(H$39),報告用!$AI$4:$AI$39,報告用!$F$4:$F$39,"",FALSE)</f>
        <v>18</v>
      </c>
      <c r="I46" s="123" t="str">
        <f>_xlfn.XLOOKUP(ROW(I46)+1-ROW(I$39),報告用!$AI$4:$AI$39,報告用!$G$4:$G$39,"",FALSE)</f>
        <v>吉井　用子</v>
      </c>
      <c r="J46" s="124" t="str">
        <f t="shared" si="8"/>
        <v>様</v>
      </c>
      <c r="K46" s="120" t="str">
        <f>IF(_xlfn.XLOOKUP(ROW(K46)+1-ROW(K$39),報告用!$AI$4:$AI$39,報告用!$E$4:$E$39,"",FALSE)=H46,"",_xlfn.XLOOKUP(ROW(K46)+1-ROW(K$39),報告用!$AI$4:$AI$39,報告用!$E$4:$E$39,"",FALSE))</f>
        <v/>
      </c>
      <c r="L46" s="111"/>
      <c r="M46" s="189"/>
      <c r="N46" s="119">
        <f>_xlfn.XLOOKUP(ROW(N46)+1-ROW(N$39),報告用!$AJ$4:$AJ$39,報告用!$F$4:$F$39,"",FALSE)</f>
        <v>18</v>
      </c>
      <c r="O46" s="123" t="str">
        <f>_xlfn.XLOOKUP(ROW(O46)+1-ROW(O$39),報告用!$AJ$4:$AJ$39,報告用!$G$4:$G$39,"",FALSE)</f>
        <v>山本　たみ子</v>
      </c>
      <c r="P46" s="124" t="str">
        <f t="shared" si="9"/>
        <v>様</v>
      </c>
      <c r="Q46" s="120" t="str">
        <f>IF(_xlfn.XLOOKUP(ROW(Q46)+1-ROW(Q$39),報告用!$AJ$4:$AJ$39,報告用!$E$4:$E$39,"",FALSE)=N46,"",_xlfn.XLOOKUP(ROW(Q46)+1-ROW(Q$39),報告用!$AJ$4:$AJ$39,報告用!$E$4:$E$39,"",FALSE))</f>
        <v/>
      </c>
    </row>
    <row r="47" spans="1:17" ht="15.95" customHeight="1">
      <c r="A47" s="189"/>
      <c r="B47" s="119">
        <f>_xlfn.XLOOKUP(ROW(B47)+1-ROW(B$39),報告用!$AH$4:$AH$39,報告用!$F$4:$F$39,"",FALSE)</f>
        <v>18</v>
      </c>
      <c r="C47" s="123" t="str">
        <f>_xlfn.XLOOKUP(ROW(C47)+1-ROW(C$39),報告用!$AH$4:$AH$39,報告用!$G$4:$G$39,"",FALSE)</f>
        <v>山本　たみ子</v>
      </c>
      <c r="D47" s="124" t="str">
        <f t="shared" si="7"/>
        <v>様</v>
      </c>
      <c r="E47" s="120" t="str">
        <f>IF(_xlfn.XLOOKUP(ROW(E47)+1-ROW(E$39),報告用!$AH$4:$AH$39,報告用!$E$4:$E$39,"",FALSE)=B47,"",_xlfn.XLOOKUP(ROW(E47)+1-ROW(E$39),報告用!$AH$4:$AH$39,報告用!$E$4:$E$39,"",FALSE))</f>
        <v/>
      </c>
      <c r="F47" s="110"/>
      <c r="G47" s="189"/>
      <c r="H47" s="119">
        <f>_xlfn.XLOOKUP(ROW(H47)+1-ROW(H$39),報告用!$AI$4:$AI$39,報告用!$F$4:$F$39,"",FALSE)</f>
        <v>18</v>
      </c>
      <c r="I47" s="123" t="str">
        <f>_xlfn.XLOOKUP(ROW(I47)+1-ROW(I$39),報告用!$AI$4:$AI$39,報告用!$G$4:$G$39,"",FALSE)</f>
        <v>山本　たみ子</v>
      </c>
      <c r="J47" s="124" t="str">
        <f t="shared" si="8"/>
        <v>様</v>
      </c>
      <c r="K47" s="120" t="str">
        <f>IF(_xlfn.XLOOKUP(ROW(K47)+1-ROW(K$39),報告用!$AI$4:$AI$39,報告用!$E$4:$E$39,"",FALSE)=H47,"",_xlfn.XLOOKUP(ROW(K47)+1-ROW(K$39),報告用!$AI$4:$AI$39,報告用!$E$4:$E$39,"",FALSE))</f>
        <v/>
      </c>
      <c r="L47" s="111"/>
      <c r="M47" s="189"/>
      <c r="N47" s="119">
        <f>_xlfn.XLOOKUP(ROW(N47)+1-ROW(N$39),報告用!$AJ$4:$AJ$39,報告用!$F$4:$F$39,"",FALSE)</f>
        <v>20</v>
      </c>
      <c r="O47" s="123" t="str">
        <f>_xlfn.XLOOKUP(ROW(O47)+1-ROW(O$39),報告用!$AJ$4:$AJ$39,報告用!$G$4:$G$39,"",FALSE)</f>
        <v>亀岡　廣子</v>
      </c>
      <c r="P47" s="124" t="str">
        <f t="shared" si="9"/>
        <v>様</v>
      </c>
      <c r="Q47" s="120" t="str">
        <f>IF(_xlfn.XLOOKUP(ROW(Q47)+1-ROW(Q$39),報告用!$AJ$4:$AJ$39,報告用!$E$4:$E$39,"",FALSE)=N47,"",_xlfn.XLOOKUP(ROW(Q47)+1-ROW(Q$39),報告用!$AJ$4:$AJ$39,報告用!$E$4:$E$39,"",FALSE))</f>
        <v/>
      </c>
    </row>
    <row r="48" spans="1:17" ht="15.95" customHeight="1">
      <c r="A48" s="189"/>
      <c r="B48" s="119">
        <f>_xlfn.XLOOKUP(ROW(B48)+1-ROW(B$39),報告用!$AH$4:$AH$39,報告用!$F$4:$F$39,"",FALSE)</f>
        <v>20</v>
      </c>
      <c r="C48" s="123" t="str">
        <f>_xlfn.XLOOKUP(ROW(C48)+1-ROW(C$39),報告用!$AH$4:$AH$39,報告用!$G$4:$G$39,"",FALSE)</f>
        <v>亀岡　廣子</v>
      </c>
      <c r="D48" s="124" t="str">
        <f t="shared" si="7"/>
        <v>様</v>
      </c>
      <c r="E48" s="120" t="str">
        <f>IF(_xlfn.XLOOKUP(ROW(E48)+1-ROW(E$39),報告用!$AH$4:$AH$39,報告用!$E$4:$E$39,"",FALSE)=B48,"",_xlfn.XLOOKUP(ROW(E48)+1-ROW(E$39),報告用!$AH$4:$AH$39,報告用!$E$4:$E$39,"",FALSE))</f>
        <v/>
      </c>
      <c r="F48" s="110"/>
      <c r="G48" s="189"/>
      <c r="H48" s="119">
        <f>_xlfn.XLOOKUP(ROW(H48)+1-ROW(H$39),報告用!$AI$4:$AI$39,報告用!$F$4:$F$39,"",FALSE)</f>
        <v>20</v>
      </c>
      <c r="I48" s="123" t="str">
        <f>_xlfn.XLOOKUP(ROW(I48)+1-ROW(I$39),報告用!$AI$4:$AI$39,報告用!$G$4:$G$39,"",FALSE)</f>
        <v>亀岡　廣子</v>
      </c>
      <c r="J48" s="124" t="str">
        <f t="shared" si="8"/>
        <v>様</v>
      </c>
      <c r="K48" s="120" t="str">
        <f>IF(_xlfn.XLOOKUP(ROW(K48)+1-ROW(K$39),報告用!$AI$4:$AI$39,報告用!$E$4:$E$39,"",FALSE)=H48,"",_xlfn.XLOOKUP(ROW(K48)+1-ROW(K$39),報告用!$AI$4:$AI$39,報告用!$E$4:$E$39,"",FALSE))</f>
        <v/>
      </c>
      <c r="L48" s="111"/>
      <c r="M48" s="189"/>
      <c r="N48" s="119">
        <f>_xlfn.XLOOKUP(ROW(N48)+1-ROW(N$39),報告用!$AJ$4:$AJ$39,報告用!$F$4:$F$39,"",FALSE)</f>
        <v>21</v>
      </c>
      <c r="O48" s="123" t="str">
        <f>_xlfn.XLOOKUP(ROW(O48)+1-ROW(O$39),報告用!$AJ$4:$AJ$39,報告用!$G$4:$G$39,"",FALSE)</f>
        <v>田中　喬雄</v>
      </c>
      <c r="P48" s="124" t="str">
        <f t="shared" si="9"/>
        <v>様</v>
      </c>
      <c r="Q48" s="120" t="str">
        <f>IF(_xlfn.XLOOKUP(ROW(Q48)+1-ROW(Q$39),報告用!$AJ$4:$AJ$39,報告用!$E$4:$E$39,"",FALSE)=N48,"",_xlfn.XLOOKUP(ROW(Q48)+1-ROW(Q$39),報告用!$AJ$4:$AJ$39,報告用!$E$4:$E$39,"",FALSE))</f>
        <v/>
      </c>
    </row>
    <row r="49" spans="1:17" ht="15.95" customHeight="1">
      <c r="A49" s="189"/>
      <c r="B49" s="119">
        <f>_xlfn.XLOOKUP(ROW(B49)+1-ROW(B$39),報告用!$AH$4:$AH$39,報告用!$F$4:$F$39,"",FALSE)</f>
        <v>21</v>
      </c>
      <c r="C49" s="123" t="str">
        <f>_xlfn.XLOOKUP(ROW(C49)+1-ROW(C$39),報告用!$AH$4:$AH$39,報告用!$G$4:$G$39,"",FALSE)</f>
        <v>田中　喬雄</v>
      </c>
      <c r="D49" s="124" t="str">
        <f t="shared" si="7"/>
        <v>様</v>
      </c>
      <c r="E49" s="120" t="str">
        <f>IF(_xlfn.XLOOKUP(ROW(E49)+1-ROW(E$39),報告用!$AH$4:$AH$39,報告用!$E$4:$E$39,"",FALSE)=B49,"",_xlfn.XLOOKUP(ROW(E49)+1-ROW(E$39),報告用!$AH$4:$AH$39,報告用!$E$4:$E$39,"",FALSE))</f>
        <v/>
      </c>
      <c r="F49" s="110"/>
      <c r="G49" s="189"/>
      <c r="H49" s="119">
        <f>_xlfn.XLOOKUP(ROW(H49)+1-ROW(H$39),報告用!$AI$4:$AI$39,報告用!$F$4:$F$39,"",FALSE)</f>
        <v>21</v>
      </c>
      <c r="I49" s="123" t="str">
        <f>_xlfn.XLOOKUP(ROW(I49)+1-ROW(I$39),報告用!$AI$4:$AI$39,報告用!$G$4:$G$39,"",FALSE)</f>
        <v>田中　喬雄</v>
      </c>
      <c r="J49" s="124" t="str">
        <f t="shared" si="8"/>
        <v>様</v>
      </c>
      <c r="K49" s="120" t="str">
        <f>IF(_xlfn.XLOOKUP(ROW(K49)+1-ROW(K$39),報告用!$AI$4:$AI$39,報告用!$E$4:$E$39,"",FALSE)=H49,"",_xlfn.XLOOKUP(ROW(K49)+1-ROW(K$39),報告用!$AI$4:$AI$39,報告用!$E$4:$E$39,"",FALSE))</f>
        <v/>
      </c>
      <c r="L49" s="111"/>
      <c r="M49" s="189"/>
      <c r="N49" s="119">
        <f>_xlfn.XLOOKUP(ROW(N49)+1-ROW(N$39),報告用!$AJ$4:$AJ$39,報告用!$F$4:$F$39,"",FALSE)</f>
        <v>22</v>
      </c>
      <c r="O49" s="123" t="str">
        <f>_xlfn.XLOOKUP(ROW(O49)+1-ROW(O$39),報告用!$AJ$4:$AJ$39,報告用!$G$4:$G$39,"",FALSE)</f>
        <v>塩沢　信子</v>
      </c>
      <c r="P49" s="124" t="str">
        <f t="shared" si="9"/>
        <v>様</v>
      </c>
      <c r="Q49" s="120" t="str">
        <f>IF(_xlfn.XLOOKUP(ROW(Q49)+1-ROW(Q$39),報告用!$AJ$4:$AJ$39,報告用!$E$4:$E$39,"",FALSE)=N49,"",_xlfn.XLOOKUP(ROW(Q49)+1-ROW(Q$39),報告用!$AJ$4:$AJ$39,報告用!$E$4:$E$39,"",FALSE))</f>
        <v/>
      </c>
    </row>
    <row r="50" spans="1:17" ht="15.95" customHeight="1">
      <c r="A50" s="189"/>
      <c r="B50" s="119">
        <f>_xlfn.XLOOKUP(ROW(B50)+1-ROW(B$39),報告用!$AH$4:$AH$39,報告用!$F$4:$F$39,"",FALSE)</f>
        <v>22</v>
      </c>
      <c r="C50" s="123" t="str">
        <f>_xlfn.XLOOKUP(ROW(C50)+1-ROW(C$39),報告用!$AH$4:$AH$39,報告用!$G$4:$G$39,"",FALSE)</f>
        <v>塩沢　信子</v>
      </c>
      <c r="D50" s="124" t="str">
        <f t="shared" si="7"/>
        <v>様</v>
      </c>
      <c r="E50" s="120" t="str">
        <f>IF(_xlfn.XLOOKUP(ROW(E50)+1-ROW(E$39),報告用!$AH$4:$AH$39,報告用!$E$4:$E$39,"",FALSE)=B50,"",_xlfn.XLOOKUP(ROW(E50)+1-ROW(E$39),報告用!$AH$4:$AH$39,報告用!$E$4:$E$39,"",FALSE))</f>
        <v/>
      </c>
      <c r="F50" s="110"/>
      <c r="G50" s="189"/>
      <c r="H50" s="119">
        <f>_xlfn.XLOOKUP(ROW(H50)+1-ROW(H$39),報告用!$AI$4:$AI$39,報告用!$F$4:$F$39,"",FALSE)</f>
        <v>22</v>
      </c>
      <c r="I50" s="123" t="str">
        <f>_xlfn.XLOOKUP(ROW(I50)+1-ROW(I$39),報告用!$AI$4:$AI$39,報告用!$G$4:$G$39,"",FALSE)</f>
        <v>塩沢　信子</v>
      </c>
      <c r="J50" s="124" t="str">
        <f t="shared" si="8"/>
        <v>様</v>
      </c>
      <c r="K50" s="120" t="str">
        <f>IF(_xlfn.XLOOKUP(ROW(K50)+1-ROW(K$39),報告用!$AI$4:$AI$39,報告用!$E$4:$E$39,"",FALSE)=H50,"",_xlfn.XLOOKUP(ROW(K50)+1-ROW(K$39),報告用!$AI$4:$AI$39,報告用!$E$4:$E$39,"",FALSE))</f>
        <v/>
      </c>
      <c r="L50" s="111"/>
      <c r="M50" s="189"/>
      <c r="N50" s="119" t="str">
        <f>_xlfn.XLOOKUP(ROW(N50)+1-ROW(N$39),報告用!$AJ$4:$AJ$39,報告用!$F$4:$F$39,"",FALSE)</f>
        <v/>
      </c>
      <c r="O50" s="123" t="str">
        <f>_xlfn.XLOOKUP(ROW(O50)+1-ROW(O$39),報告用!$AJ$4:$AJ$39,報告用!$G$4:$G$39,"",FALSE)</f>
        <v/>
      </c>
      <c r="P50" s="124" t="str">
        <f t="shared" si="9"/>
        <v/>
      </c>
      <c r="Q50" s="120" t="str">
        <f>IF(_xlfn.XLOOKUP(ROW(Q50)+1-ROW(Q$39),報告用!$AJ$4:$AJ$39,報告用!$E$4:$E$39,"",FALSE)=N50,"",_xlfn.XLOOKUP(ROW(Q50)+1-ROW(Q$39),報告用!$AJ$4:$AJ$39,報告用!$E$4:$E$39,"",FALSE))</f>
        <v/>
      </c>
    </row>
    <row r="51" spans="1:17" ht="15.95" customHeight="1" thickBot="1">
      <c r="A51" s="190"/>
      <c r="B51" s="125" t="str">
        <f>_xlfn.XLOOKUP(ROW(B51)+1-ROW(B$39),報告用!$AH$4:$AH$39,報告用!$F$4:$F$39,"",FALSE)</f>
        <v/>
      </c>
      <c r="C51" s="126" t="str">
        <f>_xlfn.XLOOKUP(ROW(C51)+1-ROW(C$39),報告用!$AH$4:$AH$39,報告用!$G$4:$G$39,"",FALSE)</f>
        <v/>
      </c>
      <c r="D51" s="127" t="str">
        <f t="shared" si="7"/>
        <v/>
      </c>
      <c r="E51" s="128" t="str">
        <f>IF(_xlfn.XLOOKUP(ROW(E51)+1-ROW(E$39),報告用!$AH$4:$AH$39,報告用!$E$4:$E$39,"",FALSE)=B51,"",_xlfn.XLOOKUP(ROW(E51)+1-ROW(E$41),報告用!$AH$4:$AH$39,報告用!$E$4:$E$39,"",FALSE))</f>
        <v/>
      </c>
      <c r="F51" s="110"/>
      <c r="G51" s="190"/>
      <c r="H51" s="125" t="str">
        <f>_xlfn.XLOOKUP(ROW(H51)+1-ROW(H$39),報告用!$AI$4:$AI$39,報告用!$F$4:$F$39,"",FALSE)</f>
        <v/>
      </c>
      <c r="I51" s="126" t="str">
        <f>_xlfn.XLOOKUP(ROW(I51)+1-ROW(I$39),報告用!$AI$4:$AI$39,報告用!$G$4:$G$39,"",FALSE)</f>
        <v/>
      </c>
      <c r="J51" s="127" t="str">
        <f t="shared" si="8"/>
        <v/>
      </c>
      <c r="K51" s="128" t="str">
        <f>IF(_xlfn.XLOOKUP(ROW(K51)+1-ROW(K$39),報告用!$AI$4:$AI$39,報告用!$E$4:$E$39,"",FALSE)=H51,"",_xlfn.XLOOKUP(ROW(K51)+1-ROW(K$39),報告用!$AI$4:$AI$39,報告用!$E$4:$E$39,"",FALSE))</f>
        <v/>
      </c>
      <c r="L51" s="111"/>
      <c r="M51" s="190"/>
      <c r="N51" s="125" t="str">
        <f>_xlfn.XLOOKUP(ROW(N51)+1-ROW(N$39),報告用!$AJ$4:$AJ$39,報告用!$F$4:$F$39,"",FALSE)</f>
        <v/>
      </c>
      <c r="O51" s="126" t="str">
        <f>_xlfn.XLOOKUP(ROW(O51)+1-ROW(O$39),報告用!$AJ$4:$AJ$39,報告用!$G$4:$G$39,"",FALSE)</f>
        <v/>
      </c>
      <c r="P51" s="127" t="str">
        <f t="shared" si="9"/>
        <v/>
      </c>
      <c r="Q51" s="128" t="str">
        <f>IF(_xlfn.XLOOKUP(ROW(Q51)+1-ROW(Q$39),報告用!$AJ$4:$AJ$39,報告用!$E$4:$E$39,"",FALSE)=N51,"",_xlfn.XLOOKUP(ROW(Q51)+1-ROW(Q$39),報告用!$AJ$4:$AJ$39,報告用!$E$4:$E$39,"",FALSE))</f>
        <v/>
      </c>
    </row>
    <row r="52" spans="1:17" ht="15.95" customHeight="1" thickTop="1">
      <c r="A52" s="179" t="s">
        <v>25</v>
      </c>
      <c r="B52" s="119">
        <f>_xlfn.XLOOKUP(ROW(B52)+1-ROW(B$52),報告用!$AM$4:$AM$39,報告用!$F$4:$F$39,"",FALSE)</f>
        <v>15</v>
      </c>
      <c r="C52" s="123" t="str">
        <f>_xlfn.XLOOKUP(ROW(C52)+1-ROW(C$52),報告用!$AM$4:$AM$39,報告用!$G$4:$G$39,"",FALSE)</f>
        <v>志村とも子</v>
      </c>
      <c r="D52" s="124" t="str">
        <f>IF(C52="","","様")</f>
        <v>様</v>
      </c>
      <c r="E52" s="120" t="str">
        <f>IF(_xlfn.XLOOKUP(ROW(E52)+1-ROW(E$52),報告用!$AM$4:$AM$39,報告用!$E$4:$E$39,"",FALSE)=B52,"",_xlfn.XLOOKUP(ROW(E52)+1-ROW(E$52),報告用!$AM$4:$AM$39,報告用!$E$4:$E$39,"",FALSE))</f>
        <v/>
      </c>
      <c r="F52" s="110"/>
      <c r="G52" s="179" t="s">
        <v>25</v>
      </c>
      <c r="H52" s="119">
        <f>_xlfn.XLOOKUP(ROW(H52)+1-ROW(H$52),報告用!$AN$4:$AN$39,報告用!$F$4:$F$39,"",FALSE)</f>
        <v>15</v>
      </c>
      <c r="I52" s="123" t="str">
        <f>_xlfn.XLOOKUP(ROW(I52)+1-ROW(I$52),報告用!$AN$4:$AN$39,報告用!$G$4:$G$39,"",FALSE)</f>
        <v>志村とも子</v>
      </c>
      <c r="J52" s="124" t="str">
        <f>IF(I52="","","様")</f>
        <v>様</v>
      </c>
      <c r="K52" s="120" t="str">
        <f>IF(_xlfn.XLOOKUP(ROW(K52)+1-ROW(K$52),報告用!$AN$4:$AN$39,報告用!$E$4:$E$39,"",FALSE)=H52,"",_xlfn.XLOOKUP(ROW(K52)+1-ROW(K$52),報告用!$AN$4:$AN$39,報告用!$E$4:$E$39,"",FALSE))</f>
        <v/>
      </c>
      <c r="L52" s="111"/>
      <c r="M52" s="179" t="s">
        <v>25</v>
      </c>
      <c r="N52" s="119">
        <f>_xlfn.XLOOKUP(ROW(N52)+1-ROW(N$52),報告用!$AO$4:$AO$39,報告用!$F$4:$F$39,"",FALSE)</f>
        <v>15</v>
      </c>
      <c r="O52" s="123" t="str">
        <f>_xlfn.XLOOKUP(ROW(O52)+1-ROW(O$52),報告用!$AO$4:$AO$39,報告用!$G$4:$G$39,"",FALSE)</f>
        <v>志村とも子</v>
      </c>
      <c r="P52" s="124" t="str">
        <f>IF(O52="","","様")</f>
        <v>様</v>
      </c>
      <c r="Q52" s="120" t="str">
        <f>IF(_xlfn.XLOOKUP(ROW(Q52)+1-ROW(Q$52),報告用!$AO$4:$AO$39,報告用!$E$4:$E$39,"",FALSE)=N52,"",_xlfn.XLOOKUP(ROW(Q52)+1-ROW(Q$52),報告用!$AO$4:$AO$39,報告用!$E$4:$E$39,"",FALSE))</f>
        <v/>
      </c>
    </row>
    <row r="53" spans="1:17" ht="15.95" customHeight="1">
      <c r="A53" s="180"/>
      <c r="B53" s="119">
        <f>_xlfn.XLOOKUP(ROW(B53)+1-ROW(B$52),報告用!$AM$4:$AM$39,報告用!$F$4:$F$39,"",FALSE)</f>
        <v>15</v>
      </c>
      <c r="C53" s="123" t="str">
        <f>_xlfn.XLOOKUP(ROW(C53)+1-ROW(C$52),報告用!$AM$4:$AM$39,報告用!$G$4:$G$39,"",FALSE)</f>
        <v>佐藤　亜美</v>
      </c>
      <c r="D53" s="124" t="str">
        <f t="shared" ref="D53:D68" si="10">IF(C53="","","様")</f>
        <v>様</v>
      </c>
      <c r="E53" s="120" t="str">
        <f>IF(_xlfn.XLOOKUP(ROW(E53)+1-ROW(E$52),報告用!$AM$4:$AM$39,報告用!$E$4:$E$39,"",FALSE)=B53,"",_xlfn.XLOOKUP(ROW(E53)+1-ROW(E$52),報告用!$AM$4:$AM$39,報告用!$E$4:$E$39,"",FALSE))</f>
        <v/>
      </c>
      <c r="F53" s="110"/>
      <c r="G53" s="180"/>
      <c r="H53" s="119">
        <f>_xlfn.XLOOKUP(ROW(H53)+1-ROW(H$52),報告用!$AN$4:$AN$39,報告用!$F$4:$F$39,"",FALSE)</f>
        <v>15</v>
      </c>
      <c r="I53" s="123" t="str">
        <f>_xlfn.XLOOKUP(ROW(I53)+1-ROW(I$52),報告用!$AN$4:$AN$39,報告用!$G$4:$G$39,"",FALSE)</f>
        <v>佐藤　亜美</v>
      </c>
      <c r="J53" s="124" t="str">
        <f t="shared" ref="J53:J68" si="11">IF(I53="","","様")</f>
        <v>様</v>
      </c>
      <c r="K53" s="120" t="str">
        <f>IF(_xlfn.XLOOKUP(ROW(K53)+1-ROW(K$52),報告用!$AN$4:$AN$39,報告用!$E$4:$E$39,"",FALSE)=H53,"",_xlfn.XLOOKUP(ROW(K53)+1-ROW(K$52),報告用!$AN$4:$AN$39,報告用!$E$4:$E$39,"",FALSE))</f>
        <v/>
      </c>
      <c r="L53" s="111"/>
      <c r="M53" s="180"/>
      <c r="N53" s="119">
        <f>_xlfn.XLOOKUP(ROW(N53)+1-ROW(N$52),報告用!$AO$4:$AO$39,報告用!$F$4:$F$39,"",FALSE)</f>
        <v>15</v>
      </c>
      <c r="O53" s="123" t="str">
        <f>_xlfn.XLOOKUP(ROW(O53)+1-ROW(O$52),報告用!$AO$4:$AO$39,報告用!$G$4:$G$39,"",FALSE)</f>
        <v>佐藤　亜美</v>
      </c>
      <c r="P53" s="124" t="str">
        <f t="shared" ref="P53:P68" si="12">IF(O53="","","様")</f>
        <v>様</v>
      </c>
      <c r="Q53" s="120" t="str">
        <f>IF(_xlfn.XLOOKUP(ROW(Q53)+1-ROW(Q$52),報告用!$AO$4:$AO$39,報告用!$E$4:$E$39,"",FALSE)=N53,"",_xlfn.XLOOKUP(ROW(Q53)+1-ROW(Q$52),報告用!$AO$4:$AO$39,報告用!$E$4:$E$39,"",FALSE))</f>
        <v/>
      </c>
    </row>
    <row r="54" spans="1:17" ht="15.95" customHeight="1">
      <c r="A54" s="180"/>
      <c r="B54" s="119">
        <f>_xlfn.XLOOKUP(ROW(B54)+1-ROW(B$52),報告用!$AM$4:$AM$39,報告用!$F$4:$F$39,"",FALSE)</f>
        <v>16</v>
      </c>
      <c r="C54" s="123" t="str">
        <f>_xlfn.XLOOKUP(ROW(C54)+1-ROW(C$52),報告用!$AM$4:$AM$39,報告用!$G$4:$G$39,"",FALSE)</f>
        <v>笠井　京子</v>
      </c>
      <c r="D54" s="124" t="str">
        <f t="shared" si="10"/>
        <v>様</v>
      </c>
      <c r="E54" s="120" t="str">
        <f>IF(_xlfn.XLOOKUP(ROW(E54)+1-ROW(E$52),報告用!$AM$4:$AM$39,報告用!$E$4:$E$39,"",FALSE)=B54,"",_xlfn.XLOOKUP(ROW(E54)+1-ROW(E$52),報告用!$AM$4:$AM$39,報告用!$E$4:$E$39,"",FALSE))</f>
        <v/>
      </c>
      <c r="F54" s="110"/>
      <c r="G54" s="180"/>
      <c r="H54" s="119">
        <f>_xlfn.XLOOKUP(ROW(H54)+1-ROW(H$52),報告用!$AN$4:$AN$39,報告用!$F$4:$F$39,"",FALSE)</f>
        <v>16</v>
      </c>
      <c r="I54" s="123" t="str">
        <f>_xlfn.XLOOKUP(ROW(I54)+1-ROW(I$52),報告用!$AN$4:$AN$39,報告用!$G$4:$G$39,"",FALSE)</f>
        <v>牛山　はつ子</v>
      </c>
      <c r="J54" s="124" t="str">
        <f t="shared" si="11"/>
        <v>様</v>
      </c>
      <c r="K54" s="120" t="str">
        <f>IF(_xlfn.XLOOKUP(ROW(K54)+1-ROW(K$52),報告用!$AN$4:$AN$39,報告用!$E$4:$E$39,"",FALSE)=H54,"",_xlfn.XLOOKUP(ROW(K54)+1-ROW(K$52),報告用!$AN$4:$AN$39,報告用!$E$4:$E$39,"",FALSE))</f>
        <v/>
      </c>
      <c r="L54" s="111"/>
      <c r="M54" s="180"/>
      <c r="N54" s="119">
        <f>_xlfn.XLOOKUP(ROW(N54)+1-ROW(N$52),報告用!$AO$4:$AO$39,報告用!$F$4:$F$39,"",FALSE)</f>
        <v>16</v>
      </c>
      <c r="O54" s="123" t="str">
        <f>_xlfn.XLOOKUP(ROW(O54)+1-ROW(O$52),報告用!$AO$4:$AO$39,報告用!$G$4:$G$39,"",FALSE)</f>
        <v>笠井　京子</v>
      </c>
      <c r="P54" s="124" t="str">
        <f t="shared" si="12"/>
        <v>様</v>
      </c>
      <c r="Q54" s="120" t="str">
        <f>IF(_xlfn.XLOOKUP(ROW(Q54)+1-ROW(Q$52),報告用!$AO$4:$AO$39,報告用!$E$4:$E$39,"",FALSE)=N54,"",_xlfn.XLOOKUP(ROW(Q54)+1-ROW(Q$52),報告用!$AO$4:$AO$39,報告用!$E$4:$E$39,"",FALSE))</f>
        <v/>
      </c>
    </row>
    <row r="55" spans="1:17" ht="15.95" customHeight="1">
      <c r="A55" s="180"/>
      <c r="B55" s="119">
        <f>_xlfn.XLOOKUP(ROW(B55)+1-ROW(B$52),報告用!$AM$4:$AM$39,報告用!$F$4:$F$39,"",FALSE)</f>
        <v>16</v>
      </c>
      <c r="C55" s="123" t="str">
        <f>_xlfn.XLOOKUP(ROW(C55)+1-ROW(C$52),報告用!$AM$4:$AM$39,報告用!$G$4:$G$39,"",FALSE)</f>
        <v>牛山　はつ子</v>
      </c>
      <c r="D55" s="124" t="str">
        <f t="shared" si="10"/>
        <v>様</v>
      </c>
      <c r="E55" s="120" t="str">
        <f>IF(_xlfn.XLOOKUP(ROW(E55)+1-ROW(E$52),報告用!$AM$4:$AM$39,報告用!$E$4:$E$39,"",FALSE)=B55,"",_xlfn.XLOOKUP(ROW(E55)+1-ROW(E$52),報告用!$AM$4:$AM$39,報告用!$E$4:$E$39,"",FALSE))</f>
        <v/>
      </c>
      <c r="F55" s="110"/>
      <c r="G55" s="180"/>
      <c r="H55" s="119">
        <f>_xlfn.XLOOKUP(ROW(H55)+1-ROW(H$52),報告用!$AN$4:$AN$39,報告用!$F$4:$F$39,"",FALSE)</f>
        <v>16</v>
      </c>
      <c r="I55" s="123" t="str">
        <f>_xlfn.XLOOKUP(ROW(I55)+1-ROW(I$52),報告用!$AN$4:$AN$39,報告用!$G$4:$G$39,"",FALSE)</f>
        <v>西山　望</v>
      </c>
      <c r="J55" s="124" t="str">
        <f t="shared" si="11"/>
        <v>様</v>
      </c>
      <c r="K55" s="120" t="str">
        <f>IF(_xlfn.XLOOKUP(ROW(K55)+1-ROW(K$52),報告用!$AN$4:$AN$39,報告用!$E$4:$E$39,"",FALSE)=H55,"",_xlfn.XLOOKUP(ROW(K55)+1-ROW(K$52),報告用!$AN$4:$AN$39,報告用!$E$4:$E$39,"",FALSE))</f>
        <v/>
      </c>
      <c r="L55" s="111"/>
      <c r="M55" s="180"/>
      <c r="N55" s="119">
        <f>_xlfn.XLOOKUP(ROW(N55)+1-ROW(N$52),報告用!$AO$4:$AO$39,報告用!$F$4:$F$39,"",FALSE)</f>
        <v>16</v>
      </c>
      <c r="O55" s="123" t="str">
        <f>_xlfn.XLOOKUP(ROW(O55)+1-ROW(O$52),報告用!$AO$4:$AO$39,報告用!$G$4:$G$39,"",FALSE)</f>
        <v>牛山　はつ子</v>
      </c>
      <c r="P55" s="124" t="str">
        <f t="shared" si="12"/>
        <v>様</v>
      </c>
      <c r="Q55" s="120" t="str">
        <f>IF(_xlfn.XLOOKUP(ROW(Q55)+1-ROW(Q$52),報告用!$AO$4:$AO$39,報告用!$E$4:$E$39,"",FALSE)=N55,"",_xlfn.XLOOKUP(ROW(Q55)+1-ROW(Q$52),報告用!$AO$4:$AO$39,報告用!$E$4:$E$39,"",FALSE))</f>
        <v/>
      </c>
    </row>
    <row r="56" spans="1:17" ht="15.95" customHeight="1">
      <c r="A56" s="180"/>
      <c r="B56" s="119">
        <f>_xlfn.XLOOKUP(ROW(B56)+1-ROW(B$52),報告用!$AM$4:$AM$39,報告用!$F$4:$F$39,"",FALSE)</f>
        <v>16</v>
      </c>
      <c r="C56" s="123" t="str">
        <f>_xlfn.XLOOKUP(ROW(C56)+1-ROW(C$52),報告用!$AM$4:$AM$39,報告用!$G$4:$G$39,"",FALSE)</f>
        <v>西山　望</v>
      </c>
      <c r="D56" s="124" t="str">
        <f t="shared" si="10"/>
        <v>様</v>
      </c>
      <c r="E56" s="120" t="str">
        <f>IF(_xlfn.XLOOKUP(ROW(E56)+1-ROW(E$52),報告用!$AM$4:$AM$39,報告用!$E$4:$E$39,"",FALSE)=B56,"",_xlfn.XLOOKUP(ROW(E56)+1-ROW(E$52),報告用!$AM$4:$AM$39,報告用!$E$4:$E$39,"",FALSE))</f>
        <v/>
      </c>
      <c r="F56" s="110"/>
      <c r="G56" s="180"/>
      <c r="H56" s="119">
        <f>_xlfn.XLOOKUP(ROW(H56)+1-ROW(H$52),報告用!$AN$4:$AN$39,報告用!$F$4:$F$39,"",FALSE)</f>
        <v>17</v>
      </c>
      <c r="I56" s="123" t="str">
        <f>_xlfn.XLOOKUP(ROW(I56)+1-ROW(I$52),報告用!$AN$4:$AN$39,報告用!$G$4:$G$39,"",FALSE)</f>
        <v>斎藤　潤一</v>
      </c>
      <c r="J56" s="124" t="str">
        <f t="shared" si="11"/>
        <v>様</v>
      </c>
      <c r="K56" s="120" t="str">
        <f>IF(_xlfn.XLOOKUP(ROW(K56)+1-ROW(K$52),報告用!$AN$4:$AN$39,報告用!$E$4:$E$39,"",FALSE)=H56,"",_xlfn.XLOOKUP(ROW(K56)+1-ROW(K$52),報告用!$AN$4:$AN$39,報告用!$E$4:$E$39,"",FALSE))</f>
        <v/>
      </c>
      <c r="L56" s="111"/>
      <c r="M56" s="180"/>
      <c r="N56" s="119">
        <f>_xlfn.XLOOKUP(ROW(N56)+1-ROW(N$52),報告用!$AO$4:$AO$39,報告用!$F$4:$F$39,"",FALSE)</f>
        <v>16</v>
      </c>
      <c r="O56" s="123" t="str">
        <f>_xlfn.XLOOKUP(ROW(O56)+1-ROW(O$52),報告用!$AO$4:$AO$39,報告用!$G$4:$G$39,"",FALSE)</f>
        <v>西山　望</v>
      </c>
      <c r="P56" s="124" t="str">
        <f t="shared" si="12"/>
        <v>様</v>
      </c>
      <c r="Q56" s="120" t="str">
        <f>IF(_xlfn.XLOOKUP(ROW(Q56)+1-ROW(Q$52),報告用!$AO$4:$AO$39,報告用!$E$4:$E$39,"",FALSE)=N56,"",_xlfn.XLOOKUP(ROW(Q56)+1-ROW(Q$52),報告用!$AO$4:$AO$39,報告用!$E$4:$E$39,"",FALSE))</f>
        <v/>
      </c>
    </row>
    <row r="57" spans="1:17" ht="15.95" customHeight="1">
      <c r="A57" s="180"/>
      <c r="B57" s="119">
        <f>_xlfn.XLOOKUP(ROW(B57)+1-ROW(B$52),報告用!$AM$4:$AM$39,報告用!$F$4:$F$39,"",FALSE)</f>
        <v>17</v>
      </c>
      <c r="C57" s="123" t="str">
        <f>_xlfn.XLOOKUP(ROW(C57)+1-ROW(C$52),報告用!$AM$4:$AM$39,報告用!$G$4:$G$39,"",FALSE)</f>
        <v>斎藤　潤一</v>
      </c>
      <c r="D57" s="124" t="str">
        <f t="shared" si="10"/>
        <v>様</v>
      </c>
      <c r="E57" s="120" t="str">
        <f>IF(_xlfn.XLOOKUP(ROW(E57)+1-ROW(E$52),報告用!$AM$4:$AM$39,報告用!$E$4:$E$39,"",FALSE)=B57,"",_xlfn.XLOOKUP(ROW(E57)+1-ROW(E$52),報告用!$AM$4:$AM$39,報告用!$E$4:$E$39,"",FALSE))</f>
        <v/>
      </c>
      <c r="F57" s="110"/>
      <c r="G57" s="180"/>
      <c r="H57" s="119">
        <f>_xlfn.XLOOKUP(ROW(H57)+1-ROW(H$52),報告用!$AN$4:$AN$39,報告用!$F$4:$F$39,"",FALSE)</f>
        <v>18</v>
      </c>
      <c r="I57" s="123" t="str">
        <f>_xlfn.XLOOKUP(ROW(I57)+1-ROW(I$52),報告用!$AN$4:$AN$39,報告用!$G$4:$G$39,"",FALSE)</f>
        <v>中澤　和江</v>
      </c>
      <c r="J57" s="124" t="str">
        <f t="shared" si="11"/>
        <v>様</v>
      </c>
      <c r="K57" s="120">
        <f>IF(_xlfn.XLOOKUP(ROW(K57)+1-ROW(K$52),報告用!$AN$4:$AN$39,報告用!$E$4:$E$39,"",FALSE)=H57,"",_xlfn.XLOOKUP(ROW(K57)+1-ROW(K$52),報告用!$AN$4:$AN$39,報告用!$E$4:$E$39,"",FALSE))</f>
        <v>17</v>
      </c>
      <c r="L57" s="111"/>
      <c r="M57" s="180"/>
      <c r="N57" s="119">
        <f>_xlfn.XLOOKUP(ROW(N57)+1-ROW(N$52),報告用!$AO$4:$AO$39,報告用!$F$4:$F$39,"",FALSE)</f>
        <v>17</v>
      </c>
      <c r="O57" s="123" t="str">
        <f>_xlfn.XLOOKUP(ROW(O57)+1-ROW(O$52),報告用!$AO$4:$AO$39,報告用!$G$4:$G$39,"",FALSE)</f>
        <v>斎藤　潤一</v>
      </c>
      <c r="P57" s="124" t="str">
        <f t="shared" si="12"/>
        <v>様</v>
      </c>
      <c r="Q57" s="120" t="str">
        <f>IF(_xlfn.XLOOKUP(ROW(Q57)+1-ROW(Q$52),報告用!$AO$4:$AO$39,報告用!$E$4:$E$39,"",FALSE)=N57,"",_xlfn.XLOOKUP(ROW(Q57)+1-ROW(Q$52),報告用!$AO$4:$AO$39,報告用!$E$4:$E$39,"",FALSE))</f>
        <v/>
      </c>
    </row>
    <row r="58" spans="1:17" ht="15.95" customHeight="1">
      <c r="A58" s="180"/>
      <c r="B58" s="119">
        <f>_xlfn.XLOOKUP(ROW(B58)+1-ROW(B$52),報告用!$AM$4:$AM$39,報告用!$F$4:$F$39,"",FALSE)</f>
        <v>18</v>
      </c>
      <c r="C58" s="123" t="str">
        <f>_xlfn.XLOOKUP(ROW(C58)+1-ROW(C$52),報告用!$AM$4:$AM$39,報告用!$G$4:$G$39,"",FALSE)</f>
        <v>中澤　和江</v>
      </c>
      <c r="D58" s="124" t="str">
        <f t="shared" si="10"/>
        <v>様</v>
      </c>
      <c r="E58" s="120">
        <f>IF(_xlfn.XLOOKUP(ROW(E58)+1-ROW(E$52),報告用!$AM$4:$AM$39,報告用!$E$4:$E$39,"",FALSE)=B58,"",_xlfn.XLOOKUP(ROW(E58)+1-ROW(E$52),報告用!$AM$4:$AM$39,報告用!$E$4:$E$39,"",FALSE))</f>
        <v>17</v>
      </c>
      <c r="F58" s="110"/>
      <c r="G58" s="180"/>
      <c r="H58" s="119">
        <f>_xlfn.XLOOKUP(ROW(H58)+1-ROW(H$52),報告用!$AN$4:$AN$39,報告用!$F$4:$F$39,"",FALSE)</f>
        <v>18</v>
      </c>
      <c r="I58" s="123" t="str">
        <f>_xlfn.XLOOKUP(ROW(I58)+1-ROW(I$52),報告用!$AN$4:$AN$39,報告用!$G$4:$G$39,"",FALSE)</f>
        <v>山本　たみ子</v>
      </c>
      <c r="J58" s="124" t="str">
        <f t="shared" si="11"/>
        <v>様</v>
      </c>
      <c r="K58" s="120" t="str">
        <f>IF(_xlfn.XLOOKUP(ROW(K58)+1-ROW(K$52),報告用!$AN$4:$AN$39,報告用!$E$4:$E$39,"",FALSE)=H58,"",_xlfn.XLOOKUP(ROW(K58)+1-ROW(K$52),報告用!$AN$4:$AN$39,報告用!$E$4:$E$39,"",FALSE))</f>
        <v/>
      </c>
      <c r="L58" s="111"/>
      <c r="M58" s="180"/>
      <c r="N58" s="119">
        <f>_xlfn.XLOOKUP(ROW(N58)+1-ROW(N$52),報告用!$AO$4:$AO$39,報告用!$F$4:$F$39,"",FALSE)</f>
        <v>18</v>
      </c>
      <c r="O58" s="123" t="str">
        <f>_xlfn.XLOOKUP(ROW(O58)+1-ROW(O$52),報告用!$AO$4:$AO$39,報告用!$G$4:$G$39,"",FALSE)</f>
        <v>中澤　和江</v>
      </c>
      <c r="P58" s="124" t="str">
        <f t="shared" si="12"/>
        <v>様</v>
      </c>
      <c r="Q58" s="120">
        <f>IF(_xlfn.XLOOKUP(ROW(Q58)+1-ROW(Q$52),報告用!$AO$4:$AO$39,報告用!$E$4:$E$39,"",FALSE)=N58,"",_xlfn.XLOOKUP(ROW(Q58)+1-ROW(Q$52),報告用!$AO$4:$AO$39,報告用!$E$4:$E$39,"",FALSE))</f>
        <v>17</v>
      </c>
    </row>
    <row r="59" spans="1:17" ht="15.95" customHeight="1">
      <c r="A59" s="180"/>
      <c r="B59" s="119">
        <f>_xlfn.XLOOKUP(ROW(B59)+1-ROW(B$52),報告用!$AM$4:$AM$39,報告用!$F$4:$F$39,"",FALSE)</f>
        <v>18</v>
      </c>
      <c r="C59" s="123" t="str">
        <f>_xlfn.XLOOKUP(ROW(C59)+1-ROW(C$52),報告用!$AM$4:$AM$39,報告用!$G$4:$G$39,"",FALSE)</f>
        <v>山本　たみ子</v>
      </c>
      <c r="D59" s="124" t="str">
        <f t="shared" si="10"/>
        <v>様</v>
      </c>
      <c r="E59" s="120" t="str">
        <f>IF(_xlfn.XLOOKUP(ROW(E59)+1-ROW(E$52),報告用!$AM$4:$AM$39,報告用!$E$4:$E$39,"",FALSE)=B59,"",_xlfn.XLOOKUP(ROW(E59)+1-ROW(E$52),報告用!$AM$4:$AM$39,報告用!$E$4:$E$39,"",FALSE))</f>
        <v/>
      </c>
      <c r="F59" s="110"/>
      <c r="G59" s="180"/>
      <c r="H59" s="119">
        <f>_xlfn.XLOOKUP(ROW(H59)+1-ROW(H$52),報告用!$AN$4:$AN$39,報告用!$F$4:$F$39,"",FALSE)</f>
        <v>20</v>
      </c>
      <c r="I59" s="123" t="str">
        <f>_xlfn.XLOOKUP(ROW(I59)+1-ROW(I$52),報告用!$AN$4:$AN$39,報告用!$G$4:$G$39,"",FALSE)</f>
        <v>小口　千穂</v>
      </c>
      <c r="J59" s="124" t="str">
        <f t="shared" si="11"/>
        <v>様</v>
      </c>
      <c r="K59" s="120" t="str">
        <f>IF(_xlfn.XLOOKUP(ROW(K59)+1-ROW(K$52),報告用!$AN$4:$AN$39,報告用!$E$4:$E$39,"",FALSE)=H59,"",_xlfn.XLOOKUP(ROW(K59)+1-ROW(K$52),報告用!$AN$4:$AN$39,報告用!$E$4:$E$39,"",FALSE))</f>
        <v/>
      </c>
      <c r="L59" s="111"/>
      <c r="M59" s="180"/>
      <c r="N59" s="119">
        <f>_xlfn.XLOOKUP(ROW(N59)+1-ROW(N$52),報告用!$AO$4:$AO$39,報告用!$F$4:$F$39,"",FALSE)</f>
        <v>18</v>
      </c>
      <c r="O59" s="123" t="str">
        <f>_xlfn.XLOOKUP(ROW(O59)+1-ROW(O$52),報告用!$AO$4:$AO$39,報告用!$G$4:$G$39,"",FALSE)</f>
        <v>深味　照子</v>
      </c>
      <c r="P59" s="124" t="str">
        <f t="shared" si="12"/>
        <v>様</v>
      </c>
      <c r="Q59" s="120" t="str">
        <f>IF(_xlfn.XLOOKUP(ROW(Q59)+1-ROW(Q$52),報告用!$AO$4:$AO$39,報告用!$E$4:$E$39,"",FALSE)=N59,"",_xlfn.XLOOKUP(ROW(Q59)+1-ROW(Q$52),報告用!$AO$4:$AO$39,報告用!$E$4:$E$39,"",FALSE))</f>
        <v/>
      </c>
    </row>
    <row r="60" spans="1:17" ht="15.95" customHeight="1">
      <c r="A60" s="180"/>
      <c r="B60" s="119">
        <f>_xlfn.XLOOKUP(ROW(B60)+1-ROW(B$52),報告用!$AM$4:$AM$39,報告用!$F$4:$F$39,"",FALSE)</f>
        <v>20</v>
      </c>
      <c r="C60" s="123" t="str">
        <f>_xlfn.XLOOKUP(ROW(C60)+1-ROW(C$52),報告用!$AM$4:$AM$39,報告用!$G$4:$G$39,"",FALSE)</f>
        <v>小口　千穂</v>
      </c>
      <c r="D60" s="124" t="str">
        <f t="shared" si="10"/>
        <v>様</v>
      </c>
      <c r="E60" s="120" t="str">
        <f>IF(_xlfn.XLOOKUP(ROW(E60)+1-ROW(E$52),報告用!$AM$4:$AM$39,報告用!$E$4:$E$39,"",FALSE)=B60,"",_xlfn.XLOOKUP(ROW(E60)+1-ROW(E$52),報告用!$AM$4:$AM$39,報告用!$E$4:$E$39,"",FALSE))</f>
        <v/>
      </c>
      <c r="F60" s="110"/>
      <c r="G60" s="180"/>
      <c r="H60" s="119">
        <f>_xlfn.XLOOKUP(ROW(H60)+1-ROW(H$52),報告用!$AN$4:$AN$39,報告用!$F$4:$F$39,"",FALSE)</f>
        <v>20</v>
      </c>
      <c r="I60" s="123" t="str">
        <f>_xlfn.XLOOKUP(ROW(I60)+1-ROW(I$52),報告用!$AN$4:$AN$39,報告用!$G$4:$G$39,"",FALSE)</f>
        <v>堀内　竹子</v>
      </c>
      <c r="J60" s="124" t="str">
        <f t="shared" si="11"/>
        <v>様</v>
      </c>
      <c r="K60" s="120" t="str">
        <f>IF(_xlfn.XLOOKUP(ROW(K60)+1-ROW(K$52),報告用!$AN$4:$AN$39,報告用!$E$4:$E$39,"",FALSE)=H60,"",_xlfn.XLOOKUP(ROW(K60)+1-ROW(K$52),報告用!$AN$4:$AN$39,報告用!$E$4:$E$39,"",FALSE))</f>
        <v/>
      </c>
      <c r="L60" s="111"/>
      <c r="M60" s="180"/>
      <c r="N60" s="119">
        <f>_xlfn.XLOOKUP(ROW(N60)+1-ROW(N$52),報告用!$AO$4:$AO$39,報告用!$F$4:$F$39,"",FALSE)</f>
        <v>18</v>
      </c>
      <c r="O60" s="123" t="str">
        <f>_xlfn.XLOOKUP(ROW(O60)+1-ROW(O$52),報告用!$AO$4:$AO$39,報告用!$G$4:$G$39,"",FALSE)</f>
        <v>山本　たみ子</v>
      </c>
      <c r="P60" s="124" t="str">
        <f t="shared" si="12"/>
        <v>様</v>
      </c>
      <c r="Q60" s="120" t="str">
        <f>IF(_xlfn.XLOOKUP(ROW(Q60)+1-ROW(Q$52),報告用!$AO$4:$AO$39,報告用!$E$4:$E$39,"",FALSE)=N60,"",_xlfn.XLOOKUP(ROW(Q60)+1-ROW(Q$52),報告用!$AO$4:$AO$39,報告用!$E$4:$E$39,"",FALSE))</f>
        <v/>
      </c>
    </row>
    <row r="61" spans="1:17" ht="15.95" customHeight="1">
      <c r="A61" s="180"/>
      <c r="B61" s="119">
        <f>_xlfn.XLOOKUP(ROW(B61)+1-ROW(B$52),報告用!$AM$4:$AM$39,報告用!$F$4:$F$39,"",FALSE)</f>
        <v>20</v>
      </c>
      <c r="C61" s="123" t="str">
        <f>_xlfn.XLOOKUP(ROW(C61)+1-ROW(C$52),報告用!$AM$4:$AM$39,報告用!$G$4:$G$39,"",FALSE)</f>
        <v>堀内　竹子</v>
      </c>
      <c r="D61" s="124" t="str">
        <f t="shared" si="10"/>
        <v>様</v>
      </c>
      <c r="E61" s="120" t="str">
        <f>IF(_xlfn.XLOOKUP(ROW(E61)+1-ROW(E$52),報告用!$AM$4:$AM$39,報告用!$E$4:$E$39,"",FALSE)=B61,"",_xlfn.XLOOKUP(ROW(E61)+1-ROW(E$52),報告用!$AM$4:$AM$39,報告用!$E$4:$E$39,"",FALSE))</f>
        <v/>
      </c>
      <c r="F61" s="110"/>
      <c r="G61" s="180"/>
      <c r="H61" s="119">
        <f>_xlfn.XLOOKUP(ROW(H61)+1-ROW(H$52),報告用!$AN$4:$AN$39,報告用!$F$4:$F$39,"",FALSE)</f>
        <v>21</v>
      </c>
      <c r="I61" s="123" t="str">
        <f>_xlfn.XLOOKUP(ROW(I61)+1-ROW(I$52),報告用!$AN$4:$AN$39,報告用!$G$4:$G$39,"",FALSE)</f>
        <v>小林　國光</v>
      </c>
      <c r="J61" s="124" t="str">
        <f t="shared" si="11"/>
        <v>様</v>
      </c>
      <c r="K61" s="120">
        <f>IF(_xlfn.XLOOKUP(ROW(K61)+1-ROW(K$52),報告用!$AN$4:$AN$39,報告用!$E$4:$E$39,"",FALSE)=H61,"",_xlfn.XLOOKUP(ROW(K61)+1-ROW(K$52),報告用!$AN$4:$AN$39,報告用!$E$4:$E$39,"",FALSE))</f>
        <v>17</v>
      </c>
      <c r="L61" s="111"/>
      <c r="M61" s="180"/>
      <c r="N61" s="119">
        <f>_xlfn.XLOOKUP(ROW(N61)+1-ROW(N$52),報告用!$AO$4:$AO$39,報告用!$F$4:$F$39,"",FALSE)</f>
        <v>20</v>
      </c>
      <c r="O61" s="123" t="str">
        <f>_xlfn.XLOOKUP(ROW(O61)+1-ROW(O$52),報告用!$AO$4:$AO$39,報告用!$G$4:$G$39,"",FALSE)</f>
        <v>小口　千穂</v>
      </c>
      <c r="P61" s="124" t="str">
        <f t="shared" si="12"/>
        <v>様</v>
      </c>
      <c r="Q61" s="120" t="str">
        <f>IF(_xlfn.XLOOKUP(ROW(Q61)+1-ROW(Q$52),報告用!$AO$4:$AO$39,報告用!$E$4:$E$39,"",FALSE)=N61,"",_xlfn.XLOOKUP(ROW(Q61)+1-ROW(Q$52),報告用!$AO$4:$AO$39,報告用!$E$4:$E$39,"",FALSE))</f>
        <v/>
      </c>
    </row>
    <row r="62" spans="1:17" ht="15.95" customHeight="1">
      <c r="A62" s="180"/>
      <c r="B62" s="119">
        <f>_xlfn.XLOOKUP(ROW(B62)+1-ROW(B$52),報告用!$AM$4:$AM$39,報告用!$F$4:$F$39,"",FALSE)</f>
        <v>21</v>
      </c>
      <c r="C62" s="123" t="str">
        <f>_xlfn.XLOOKUP(ROW(C62)+1-ROW(C$52),報告用!$AM$4:$AM$39,報告用!$G$4:$G$39,"",FALSE)</f>
        <v>小林　國光</v>
      </c>
      <c r="D62" s="124" t="str">
        <f t="shared" si="10"/>
        <v>様</v>
      </c>
      <c r="E62" s="120">
        <f>IF(_xlfn.XLOOKUP(ROW(E62)+1-ROW(E$52),報告用!$AM$4:$AM$39,報告用!$E$4:$E$39,"",FALSE)=B62,"",_xlfn.XLOOKUP(ROW(E62)+1-ROW(E$52),報告用!$AM$4:$AM$39,報告用!$E$4:$E$39,"",FALSE))</f>
        <v>17</v>
      </c>
      <c r="F62" s="110"/>
      <c r="G62" s="180"/>
      <c r="H62" s="119">
        <f>_xlfn.XLOOKUP(ROW(H62)+1-ROW(H$52),報告用!$AN$4:$AN$39,報告用!$F$4:$F$39,"",FALSE)</f>
        <v>21</v>
      </c>
      <c r="I62" s="123" t="str">
        <f>_xlfn.XLOOKUP(ROW(I62)+1-ROW(I$52),報告用!$AN$4:$AN$39,報告用!$G$4:$G$39,"",FALSE)</f>
        <v>土田　茂</v>
      </c>
      <c r="J62" s="124" t="str">
        <f t="shared" si="11"/>
        <v>様</v>
      </c>
      <c r="K62" s="120" t="str">
        <f>IF(_xlfn.XLOOKUP(ROW(K62)+1-ROW(K$52),報告用!$AN$4:$AN$39,報告用!$E$4:$E$39,"",FALSE)=H62,"",_xlfn.XLOOKUP(ROW(K62)+1-ROW(K$52),報告用!$AN$4:$AN$39,報告用!$E$4:$E$39,"",FALSE))</f>
        <v/>
      </c>
      <c r="L62" s="111"/>
      <c r="M62" s="180"/>
      <c r="N62" s="119">
        <f>_xlfn.XLOOKUP(ROW(N62)+1-ROW(N$52),報告用!$AO$4:$AO$39,報告用!$F$4:$F$39,"",FALSE)</f>
        <v>20</v>
      </c>
      <c r="O62" s="123" t="str">
        <f>_xlfn.XLOOKUP(ROW(O62)+1-ROW(O$52),報告用!$AO$4:$AO$39,報告用!$G$4:$G$39,"",FALSE)</f>
        <v>堀内　竹子</v>
      </c>
      <c r="P62" s="124" t="str">
        <f t="shared" si="12"/>
        <v>様</v>
      </c>
      <c r="Q62" s="120" t="str">
        <f>IF(_xlfn.XLOOKUP(ROW(Q62)+1-ROW(Q$52),報告用!$AO$4:$AO$39,報告用!$E$4:$E$39,"",FALSE)=N62,"",_xlfn.XLOOKUP(ROW(Q62)+1-ROW(Q$52),報告用!$AO$4:$AO$39,報告用!$E$4:$E$39,"",FALSE))</f>
        <v/>
      </c>
    </row>
    <row r="63" spans="1:17" ht="15.95" customHeight="1">
      <c r="A63" s="180"/>
      <c r="B63" s="119">
        <f>_xlfn.XLOOKUP(ROW(B63)+1-ROW(B$52),報告用!$AM$4:$AM$39,報告用!$F$4:$F$39,"",FALSE)</f>
        <v>21</v>
      </c>
      <c r="C63" s="123" t="str">
        <f>_xlfn.XLOOKUP(ROW(C63)+1-ROW(C$52),報告用!$AM$4:$AM$39,報告用!$G$4:$G$39,"",FALSE)</f>
        <v>土田　茂</v>
      </c>
      <c r="D63" s="124" t="str">
        <f t="shared" si="10"/>
        <v>様</v>
      </c>
      <c r="E63" s="120" t="str">
        <f>IF(_xlfn.XLOOKUP(ROW(E63)+1-ROW(E$52),報告用!$AM$4:$AM$39,報告用!$E$4:$E$39,"",FALSE)=B63,"",_xlfn.XLOOKUP(ROW(E63)+1-ROW(E$52),報告用!$AM$4:$AM$39,報告用!$E$4:$E$39,"",FALSE))</f>
        <v/>
      </c>
      <c r="F63" s="110"/>
      <c r="G63" s="180"/>
      <c r="H63" s="119">
        <f>_xlfn.XLOOKUP(ROW(H63)+1-ROW(H$52),報告用!$AN$4:$AN$39,報告用!$F$4:$F$39,"",FALSE)</f>
        <v>21</v>
      </c>
      <c r="I63" s="123" t="str">
        <f>_xlfn.XLOOKUP(ROW(I63)+1-ROW(I$52),報告用!$AN$4:$AN$39,報告用!$G$4:$G$39,"",FALSE)</f>
        <v>加納　鉄也</v>
      </c>
      <c r="J63" s="124" t="str">
        <f t="shared" si="11"/>
        <v>様</v>
      </c>
      <c r="K63" s="120">
        <f>IF(_xlfn.XLOOKUP(ROW(K63)+1-ROW(K$52),報告用!$AN$4:$AN$39,報告用!$E$4:$E$39,"",FALSE)=H63,"",_xlfn.XLOOKUP(ROW(K63)+1-ROW(K$52),報告用!$AN$4:$AN$39,報告用!$E$4:$E$39,"",FALSE))</f>
        <v>16</v>
      </c>
      <c r="L63" s="111"/>
      <c r="M63" s="180"/>
      <c r="N63" s="119">
        <f>_xlfn.XLOOKUP(ROW(N63)+1-ROW(N$52),報告用!$AO$4:$AO$39,報告用!$F$4:$F$39,"",FALSE)</f>
        <v>21</v>
      </c>
      <c r="O63" s="123" t="str">
        <f>_xlfn.XLOOKUP(ROW(O63)+1-ROW(O$52),報告用!$AO$4:$AO$39,報告用!$G$4:$G$39,"",FALSE)</f>
        <v>小林　國光</v>
      </c>
      <c r="P63" s="124" t="str">
        <f t="shared" si="12"/>
        <v>様</v>
      </c>
      <c r="Q63" s="120">
        <f>IF(_xlfn.XLOOKUP(ROW(Q63)+1-ROW(Q$52),報告用!$AO$4:$AO$39,報告用!$E$4:$E$39,"",FALSE)=N63,"",_xlfn.XLOOKUP(ROW(Q63)+1-ROW(Q$52),報告用!$AO$4:$AO$39,報告用!$E$4:$E$39,"",FALSE))</f>
        <v>17</v>
      </c>
    </row>
    <row r="64" spans="1:17" ht="15.95" customHeight="1">
      <c r="A64" s="180"/>
      <c r="B64" s="119">
        <f>_xlfn.XLOOKUP(ROW(B64)+1-ROW(B$52),報告用!$AM$4:$AM$39,報告用!$F$4:$F$39,"",FALSE)</f>
        <v>21</v>
      </c>
      <c r="C64" s="123" t="str">
        <f>_xlfn.XLOOKUP(ROW(C64)+1-ROW(C$52),報告用!$AM$4:$AM$39,報告用!$G$4:$G$39,"",FALSE)</f>
        <v>加納　鉄也</v>
      </c>
      <c r="D64" s="124" t="str">
        <f t="shared" si="10"/>
        <v>様</v>
      </c>
      <c r="E64" s="120">
        <f>IF(_xlfn.XLOOKUP(ROW(E64)+1-ROW(E$52),報告用!$AM$4:$AM$39,報告用!$E$4:$E$39,"",FALSE)=B64,"",_xlfn.XLOOKUP(ROW(E64)+1-ROW(E$52),報告用!$AM$4:$AM$39,報告用!$E$4:$E$39,"",FALSE))</f>
        <v>16</v>
      </c>
      <c r="F64" s="110"/>
      <c r="G64" s="180"/>
      <c r="H64" s="119">
        <f>_xlfn.XLOOKUP(ROW(H64)+1-ROW(H$52),報告用!$AN$4:$AN$39,報告用!$F$4:$F$39,"",FALSE)</f>
        <v>22</v>
      </c>
      <c r="I64" s="123" t="str">
        <f>_xlfn.XLOOKUP(ROW(I64)+1-ROW(I$52),報告用!$AN$4:$AN$39,報告用!$G$4:$G$39,"",FALSE)</f>
        <v>小林　慶子</v>
      </c>
      <c r="J64" s="124" t="str">
        <f t="shared" si="11"/>
        <v>様</v>
      </c>
      <c r="K64" s="120" t="str">
        <f>IF(_xlfn.XLOOKUP(ROW(K64)+1-ROW(K$52),報告用!$AN$4:$AN$39,報告用!$E$4:$E$39,"",FALSE)=H64,"",_xlfn.XLOOKUP(ROW(K64)+1-ROW(K$52),報告用!$AN$4:$AN$39,報告用!$E$4:$E$39,"",FALSE))</f>
        <v/>
      </c>
      <c r="L64" s="111"/>
      <c r="M64" s="180"/>
      <c r="N64" s="119">
        <f>_xlfn.XLOOKUP(ROW(N64)+1-ROW(N$52),報告用!$AO$4:$AO$39,報告用!$F$4:$F$39,"",FALSE)</f>
        <v>21</v>
      </c>
      <c r="O64" s="123" t="str">
        <f>_xlfn.XLOOKUP(ROW(O64)+1-ROW(O$52),報告用!$AO$4:$AO$39,報告用!$G$4:$G$39,"",FALSE)</f>
        <v>土田　茂</v>
      </c>
      <c r="P64" s="124" t="str">
        <f t="shared" si="12"/>
        <v>様</v>
      </c>
      <c r="Q64" s="120" t="str">
        <f>IF(_xlfn.XLOOKUP(ROW(Q64)+1-ROW(Q$52),報告用!$AO$4:$AO$39,報告用!$E$4:$E$39,"",FALSE)=N64,"",_xlfn.XLOOKUP(ROW(Q64)+1-ROW(Q$52),報告用!$AO$4:$AO$39,報告用!$E$4:$E$39,"",FALSE))</f>
        <v/>
      </c>
    </row>
    <row r="65" spans="1:17" ht="15.95" customHeight="1">
      <c r="A65" s="180"/>
      <c r="B65" s="119" t="str">
        <f>_xlfn.XLOOKUP(ROW(B65)+1-ROW(B$52),報告用!$AM$4:$AM$39,報告用!$F$4:$F$39,"",FALSE)</f>
        <v/>
      </c>
      <c r="C65" s="123" t="str">
        <f>_xlfn.XLOOKUP(ROW(C65)+1-ROW(C$52),報告用!$AM$4:$AM$39,報告用!$G$4:$G$39,"",FALSE)</f>
        <v/>
      </c>
      <c r="D65" s="124" t="str">
        <f t="shared" si="10"/>
        <v/>
      </c>
      <c r="E65" s="120" t="str">
        <f>IF(_xlfn.XLOOKUP(ROW(E65)+1-ROW(E$52),報告用!$AM$4:$AM$39,報告用!$E$4:$E$39,"",FALSE)=B65,"",_xlfn.XLOOKUP(ROW(E65)+1-ROW(E$52),報告用!$AM$4:$AM$39,報告用!$E$4:$E$39,"",FALSE))</f>
        <v/>
      </c>
      <c r="F65" s="110"/>
      <c r="G65" s="180"/>
      <c r="H65" s="119" t="str">
        <f>_xlfn.XLOOKUP(ROW(H65)+1-ROW(H$52),報告用!$AN$4:$AN$39,報告用!$F$4:$F$39,"",FALSE)</f>
        <v/>
      </c>
      <c r="I65" s="123" t="str">
        <f>_xlfn.XLOOKUP(ROW(I65)+1-ROW(I$52),報告用!$AN$4:$AN$39,報告用!$G$4:$G$39,"",FALSE)</f>
        <v/>
      </c>
      <c r="J65" s="124" t="str">
        <f t="shared" si="11"/>
        <v/>
      </c>
      <c r="K65" s="120" t="str">
        <f>IF(_xlfn.XLOOKUP(ROW(K65)+1-ROW(K$52),報告用!$AN$4:$AN$39,報告用!$E$4:$E$39,"",FALSE)=H65,"",_xlfn.XLOOKUP(ROW(K65)+1-ROW(K$52),報告用!$AN$4:$AN$39,報告用!$E$4:$E$39,"",FALSE))</f>
        <v/>
      </c>
      <c r="L65" s="111"/>
      <c r="M65" s="180"/>
      <c r="N65" s="119">
        <f>_xlfn.XLOOKUP(ROW(N65)+1-ROW(N$52),報告用!$AO$4:$AO$39,報告用!$F$4:$F$39,"",FALSE)</f>
        <v>21</v>
      </c>
      <c r="O65" s="123" t="str">
        <f>_xlfn.XLOOKUP(ROW(O65)+1-ROW(O$52),報告用!$AO$4:$AO$39,報告用!$G$4:$G$39,"",FALSE)</f>
        <v>加納　鉄也</v>
      </c>
      <c r="P65" s="124" t="str">
        <f t="shared" si="12"/>
        <v>様</v>
      </c>
      <c r="Q65" s="120">
        <f>IF(_xlfn.XLOOKUP(ROW(Q65)+1-ROW(Q$52),報告用!$AO$4:$AO$39,報告用!$E$4:$E$39,"",FALSE)=N65,"",_xlfn.XLOOKUP(ROW(Q65)+1-ROW(Q$52),報告用!$AO$4:$AO$39,報告用!$E$4:$E$39,"",FALSE))</f>
        <v>16</v>
      </c>
    </row>
    <row r="66" spans="1:17" ht="15.95" customHeight="1">
      <c r="A66" s="180"/>
      <c r="B66" s="119" t="str">
        <f>_xlfn.XLOOKUP(ROW(B66)+1-ROW(B$52),報告用!$AM$4:$AM$39,報告用!$F$4:$F$39,"",FALSE)</f>
        <v/>
      </c>
      <c r="C66" s="123" t="str">
        <f>_xlfn.XLOOKUP(ROW(C66)+1-ROW(C$52),報告用!$AM$4:$AM$39,報告用!$G$4:$G$39,"",FALSE)</f>
        <v/>
      </c>
      <c r="D66" s="124" t="str">
        <f t="shared" si="10"/>
        <v/>
      </c>
      <c r="E66" s="120" t="str">
        <f>IF(_xlfn.XLOOKUP(ROW(E66)+1-ROW(E$52),報告用!$AM$4:$AM$39,報告用!$E$4:$E$39,"",FALSE)=B66,"",_xlfn.XLOOKUP(ROW(E66)+1-ROW(E$52),報告用!$AM$4:$AM$39,報告用!$E$4:$E$39,"",FALSE))</f>
        <v/>
      </c>
      <c r="F66" s="110"/>
      <c r="G66" s="180"/>
      <c r="H66" s="119" t="str">
        <f>_xlfn.XLOOKUP(ROW(H66)+1-ROW(H$52),報告用!$AN$4:$AN$39,報告用!$F$4:$F$39,"",FALSE)</f>
        <v/>
      </c>
      <c r="I66" s="123" t="str">
        <f>_xlfn.XLOOKUP(ROW(I66)+1-ROW(I$52),報告用!$AN$4:$AN$39,報告用!$G$4:$G$39,"",FALSE)</f>
        <v/>
      </c>
      <c r="J66" s="124" t="str">
        <f t="shared" si="11"/>
        <v/>
      </c>
      <c r="K66" s="120" t="str">
        <f>IF(_xlfn.XLOOKUP(ROW(K66)+1-ROW(K$52),報告用!$AN$4:$AN$39,報告用!$E$4:$E$39,"",FALSE)=H66,"",_xlfn.XLOOKUP(ROW(K66)+1-ROW(K$52),報告用!$AN$4:$AN$39,報告用!$E$4:$E$39,"",FALSE))</f>
        <v/>
      </c>
      <c r="L66" s="111"/>
      <c r="M66" s="180"/>
      <c r="N66" s="119" t="str">
        <f>_xlfn.XLOOKUP(ROW(N66)+1-ROW(N$52),報告用!$AO$4:$AO$39,報告用!$F$4:$F$39,"",FALSE)</f>
        <v/>
      </c>
      <c r="O66" s="123" t="str">
        <f>_xlfn.XLOOKUP(ROW(O66)+1-ROW(O$52),報告用!$AO$4:$AO$39,報告用!$G$4:$G$39,"",FALSE)</f>
        <v/>
      </c>
      <c r="P66" s="124" t="str">
        <f t="shared" si="12"/>
        <v/>
      </c>
      <c r="Q66" s="120" t="str">
        <f>IF(_xlfn.XLOOKUP(ROW(Q66)+1-ROW(Q$52),報告用!$AO$4:$AO$39,報告用!$E$4:$E$39,"",FALSE)=N66,"",_xlfn.XLOOKUP(ROW(Q66)+1-ROW(Q$52),報告用!$AO$4:$AO$39,報告用!$E$4:$E$39,"",FALSE))</f>
        <v/>
      </c>
    </row>
    <row r="67" spans="1:17" ht="15.95" customHeight="1">
      <c r="A67" s="180"/>
      <c r="B67" s="119" t="str">
        <f>_xlfn.XLOOKUP(ROW(B67)+1-ROW(B$52),報告用!$AM$4:$AM$39,報告用!$F$4:$F$39,"",FALSE)</f>
        <v/>
      </c>
      <c r="C67" s="123" t="str">
        <f>_xlfn.XLOOKUP(ROW(C67)+1-ROW(C$52),報告用!$AM$4:$AM$39,報告用!$G$4:$G$39,"",FALSE)</f>
        <v/>
      </c>
      <c r="D67" s="124" t="str">
        <f t="shared" si="10"/>
        <v/>
      </c>
      <c r="E67" s="120" t="str">
        <f>IF(_xlfn.XLOOKUP(ROW(E67)+1-ROW(E$52),報告用!$AM$4:$AM$39,報告用!$E$4:$E$39,"",FALSE)=B67,"",_xlfn.XLOOKUP(ROW(E67)+1-ROW(E$52),報告用!$AM$4:$AM$39,報告用!$E$4:$E$39,"",FALSE))</f>
        <v/>
      </c>
      <c r="F67" s="110"/>
      <c r="G67" s="180"/>
      <c r="H67" s="119" t="str">
        <f>_xlfn.XLOOKUP(ROW(H67)+1-ROW(H$52),報告用!$AN$4:$AN$39,報告用!$F$4:$F$39,"",FALSE)</f>
        <v/>
      </c>
      <c r="I67" s="123" t="str">
        <f>_xlfn.XLOOKUP(ROW(I67)+1-ROW(I$52),報告用!$AN$4:$AN$39,報告用!$G$4:$G$39,"",FALSE)</f>
        <v/>
      </c>
      <c r="J67" s="124" t="str">
        <f t="shared" si="11"/>
        <v/>
      </c>
      <c r="K67" s="120" t="str">
        <f>IF(_xlfn.XLOOKUP(ROW(K67)+1-ROW(K$52),報告用!$AN$4:$AN$39,報告用!$E$4:$E$39,"",FALSE)=H67,"",_xlfn.XLOOKUP(ROW(K67)+1-ROW(K$52),報告用!$AN$4:$AN$39,報告用!$E$4:$E$39,"",FALSE))</f>
        <v/>
      </c>
      <c r="L67" s="111"/>
      <c r="M67" s="180"/>
      <c r="N67" s="119" t="str">
        <f>_xlfn.XLOOKUP(ROW(N67)+1-ROW(N$52),報告用!$AO$4:$AO$39,報告用!$F$4:$F$39,"",FALSE)</f>
        <v/>
      </c>
      <c r="O67" s="123" t="str">
        <f>_xlfn.XLOOKUP(ROW(O67)+1-ROW(O$52),報告用!$AO$4:$AO$39,報告用!$G$4:$G$39,"",FALSE)</f>
        <v/>
      </c>
      <c r="P67" s="124" t="str">
        <f t="shared" si="12"/>
        <v/>
      </c>
      <c r="Q67" s="120" t="str">
        <f>IF(_xlfn.XLOOKUP(ROW(Q67)+1-ROW(Q$52),報告用!$AO$4:$AO$39,報告用!$E$4:$E$39,"",FALSE)=N67,"",_xlfn.XLOOKUP(ROW(Q67)+1-ROW(Q$52),報告用!$AO$4:$AO$39,報告用!$E$4:$E$39,"",FALSE))</f>
        <v/>
      </c>
    </row>
    <row r="68" spans="1:17" ht="15.95" customHeight="1" thickBot="1">
      <c r="A68" s="181"/>
      <c r="B68" s="132" t="str">
        <f>_xlfn.XLOOKUP(ROW(B68)+1-ROW(B$52),報告用!$AM$4:$AM$39,報告用!$F$4:$F$39,"",FALSE)</f>
        <v/>
      </c>
      <c r="C68" s="133" t="str">
        <f>_xlfn.XLOOKUP(ROW(C68)+1-ROW(C$52),報告用!$AM$4:$AM$39,報告用!$G$4:$G$39,"",FALSE)</f>
        <v/>
      </c>
      <c r="D68" s="134" t="str">
        <f t="shared" si="10"/>
        <v/>
      </c>
      <c r="E68" s="135" t="str">
        <f>IF(_xlfn.XLOOKUP(ROW(E68)+1-ROW(E$52),報告用!$AM$4:$AM$39,報告用!$E$4:$E$39,"",FALSE)=B68,"",_xlfn.XLOOKUP(ROW(E68)+1-ROW(E$52),報告用!$AM$4:$AM$39,報告用!$E$4:$E$39,"",FALSE))</f>
        <v/>
      </c>
      <c r="F68" s="110"/>
      <c r="G68" s="181"/>
      <c r="H68" s="132" t="str">
        <f>_xlfn.XLOOKUP(ROW(H68)+1-ROW(H$52),報告用!$AN$4:$AN$39,報告用!$F$4:$F$39,"",FALSE)</f>
        <v/>
      </c>
      <c r="I68" s="133" t="str">
        <f>_xlfn.XLOOKUP(ROW(I68)+1-ROW(I$52),報告用!$AN$4:$AN$39,報告用!$G$4:$G$39,"",FALSE)</f>
        <v/>
      </c>
      <c r="J68" s="134" t="str">
        <f t="shared" si="11"/>
        <v/>
      </c>
      <c r="K68" s="135" t="str">
        <f>IF(_xlfn.XLOOKUP(ROW(K68)+1-ROW(K$52),報告用!$AN$4:$AN$39,報告用!$E$4:$E$39,"",FALSE)=H68,"",_xlfn.XLOOKUP(ROW(K68)+1-ROW(K$52),報告用!$AN$4:$AN$39,報告用!$E$4:$E$39,"",FALSE))</f>
        <v/>
      </c>
      <c r="L68" s="111"/>
      <c r="M68" s="181"/>
      <c r="N68" s="132" t="str">
        <f>_xlfn.XLOOKUP(ROW(N68)+1-ROW(N$52),報告用!$AO$4:$AO$39,報告用!$F$4:$F$39,"",FALSE)</f>
        <v/>
      </c>
      <c r="O68" s="133" t="str">
        <f>_xlfn.XLOOKUP(ROW(O68)+1-ROW(O$52),報告用!$AO$4:$AO$39,報告用!$G$4:$G$39,"",FALSE)</f>
        <v/>
      </c>
      <c r="P68" s="134" t="str">
        <f t="shared" si="12"/>
        <v/>
      </c>
      <c r="Q68" s="135" t="str">
        <f>IF(_xlfn.XLOOKUP(ROW(Q68)+1-ROW(Q$52),報告用!$AO$4:$AO$39,報告用!$E$4:$E$39,"",FALSE)=N68,"",_xlfn.XLOOKUP(ROW(Q68)+1-ROW(Q$52),報告用!$AO$4:$AO$39,報告用!$E$4:$E$39,"",FALSE))</f>
        <v/>
      </c>
    </row>
    <row r="69" spans="1:17" ht="15.95" customHeight="1">
      <c r="A69" s="110"/>
      <c r="B69" s="110"/>
      <c r="C69" s="110"/>
      <c r="D69" s="110"/>
      <c r="E69" s="110"/>
      <c r="F69" s="110"/>
      <c r="G69" s="199" t="s">
        <v>41</v>
      </c>
      <c r="H69" s="199"/>
      <c r="I69" s="199"/>
      <c r="J69" s="199"/>
      <c r="K69" s="199"/>
      <c r="L69" s="110"/>
      <c r="M69" s="110"/>
      <c r="N69" s="110"/>
      <c r="O69" s="110"/>
      <c r="P69" s="110"/>
      <c r="Q69" s="110"/>
    </row>
    <row r="70" spans="1:17" ht="15.95" customHeight="1" thickBot="1">
      <c r="A70" s="193" t="s">
        <v>50</v>
      </c>
      <c r="B70" s="193"/>
      <c r="C70" s="193"/>
      <c r="D70" s="193"/>
      <c r="E70" s="193"/>
      <c r="F70" s="110"/>
      <c r="G70" s="200"/>
      <c r="H70" s="200"/>
      <c r="I70" s="200"/>
      <c r="J70" s="200"/>
      <c r="K70" s="200"/>
      <c r="L70" s="110"/>
      <c r="M70" s="194">
        <f>報告用!$O$2</f>
        <v>46106</v>
      </c>
      <c r="N70" s="194"/>
      <c r="O70" s="194"/>
      <c r="P70" s="194"/>
      <c r="Q70" s="194"/>
    </row>
    <row r="71" spans="1:17" ht="15.95" customHeight="1">
      <c r="A71" s="186" t="s">
        <v>31</v>
      </c>
      <c r="B71" s="182" t="s">
        <v>36</v>
      </c>
      <c r="C71" s="182"/>
      <c r="D71" s="182"/>
      <c r="E71" s="183"/>
      <c r="F71" s="110"/>
      <c r="G71" s="186" t="s">
        <v>31</v>
      </c>
      <c r="H71" s="182" t="s">
        <v>9</v>
      </c>
      <c r="I71" s="182"/>
      <c r="J71" s="182"/>
      <c r="K71" s="183"/>
      <c r="L71" s="111"/>
      <c r="M71" s="186" t="s">
        <v>31</v>
      </c>
      <c r="N71" s="182" t="s">
        <v>10</v>
      </c>
      <c r="O71" s="182"/>
      <c r="P71" s="182"/>
      <c r="Q71" s="183"/>
    </row>
    <row r="72" spans="1:17" ht="15.95" customHeight="1" thickBot="1">
      <c r="A72" s="187"/>
      <c r="B72" s="112" t="s">
        <v>18</v>
      </c>
      <c r="C72" s="191" t="s">
        <v>17</v>
      </c>
      <c r="D72" s="191"/>
      <c r="E72" s="114" t="s">
        <v>30</v>
      </c>
      <c r="F72" s="110"/>
      <c r="G72" s="187"/>
      <c r="H72" s="112" t="s">
        <v>18</v>
      </c>
      <c r="I72" s="184" t="s">
        <v>17</v>
      </c>
      <c r="J72" s="185"/>
      <c r="K72" s="114" t="s">
        <v>30</v>
      </c>
      <c r="L72" s="111"/>
      <c r="M72" s="187"/>
      <c r="N72" s="112" t="s">
        <v>18</v>
      </c>
      <c r="O72" s="184" t="s">
        <v>17</v>
      </c>
      <c r="P72" s="185"/>
      <c r="Q72" s="114" t="s">
        <v>30</v>
      </c>
    </row>
    <row r="73" spans="1:17" ht="15.95" customHeight="1" thickTop="1">
      <c r="A73" s="179" t="s">
        <v>32</v>
      </c>
      <c r="B73" s="119">
        <f>_xlfn.XLOOKUP(ROW(B73)+1-ROW(B$73),報告用!$AC$44:$AC$87,報告用!$F$44:$F$87,"",FALSE)</f>
        <v>23</v>
      </c>
      <c r="C73" s="123" t="str">
        <f>_xlfn.XLOOKUP(ROW(C73)+1-ROW(C$73),報告用!$AC$44:$AC$87,報告用!$G$44:$G$87,"",FALSE)</f>
        <v>森下計二</v>
      </c>
      <c r="D73" s="124" t="str">
        <f>IF(C73="","","様")</f>
        <v>様</v>
      </c>
      <c r="E73" s="120" t="str">
        <f>IF(_xlfn.XLOOKUP(ROW(E73)+1-ROW(E$73),報告用!$AC$44:$AC$87,報告用!$E$44:$E$87,"",FALSE)=B73,"",_xlfn.XLOOKUP(ROW(E73)+1-ROW(E$73),報告用!$AC$44:$AC$87,報告用!$E$44:$E$87,"",FALSE))</f>
        <v/>
      </c>
      <c r="F73" s="110"/>
      <c r="G73" s="188" t="s">
        <v>35</v>
      </c>
      <c r="H73" s="117">
        <f>_xlfn.XLOOKUP(ROW(H73)+1-ROW(H$73),報告用!$AF$44:$AF$87,報告用!$F$44:$F$87,"",FALSE)</f>
        <v>22</v>
      </c>
      <c r="I73" s="129" t="str">
        <f>_xlfn.XLOOKUP(ROW(I73)+1-ROW(I$73),報告用!$AF$44:$AF$87,報告用!$G$44:$G$87,"",FALSE)</f>
        <v>丸山　由美子</v>
      </c>
      <c r="J73" s="130" t="str">
        <f>IF(I73="","","様")</f>
        <v>様</v>
      </c>
      <c r="K73" s="118" t="str">
        <f>IF(_xlfn.XLOOKUP(ROW(K73)+1-ROW(K$73),報告用!$AF$44:$AF$87,報告用!$E$44:$E$87,"",FALSE)=H73,"",_xlfn.XLOOKUP(ROW(K73)+1-ROW(K$73),報告用!$AF$44:$AF$87,報告用!$E$44:$E$87,"",FALSE))</f>
        <v/>
      </c>
      <c r="L73" s="111"/>
      <c r="M73" s="188" t="s">
        <v>35</v>
      </c>
      <c r="N73" s="117">
        <f>_xlfn.XLOOKUP(ROW(N73)+1-ROW(N$73),報告用!$AG$44:$AG$87,報告用!$F$44:$F$87,"",FALSE)</f>
        <v>22</v>
      </c>
      <c r="O73" s="129" t="str">
        <f>_xlfn.XLOOKUP(ROW(O73)+1-ROW(O$73),報告用!$AG$44:$AG$87,報告用!$G$44:$G$87,"",FALSE)</f>
        <v>丸山　由美子</v>
      </c>
      <c r="P73" s="130" t="str">
        <f>IF(O73="","","様")</f>
        <v>様</v>
      </c>
      <c r="Q73" s="118" t="str">
        <f>IF(_xlfn.XLOOKUP(ROW(Q73)+1-ROW(Q$73),報告用!$AG$44:$AG$87,報告用!$E$44:$E$87,"",FALSE)=N73,"",_xlfn.XLOOKUP(ROW(Q73)+1-ROW(Q$73),報告用!$AG$44:$AG$87,報告用!$E$44:$E$87,"",FALSE))</f>
        <v/>
      </c>
    </row>
    <row r="74" spans="1:17" ht="15.95" customHeight="1">
      <c r="A74" s="180"/>
      <c r="B74" s="117">
        <f>_xlfn.XLOOKUP(ROW(B74)+1-ROW(B$73),報告用!$AC$44:$AC$87,報告用!$F$44:$F$87,"",FALSE)</f>
        <v>23</v>
      </c>
      <c r="C74" s="129" t="str">
        <f>_xlfn.XLOOKUP(ROW(C74)+1-ROW(C$73),報告用!$AC$44:$AC$87,報告用!$G$44:$G$87,"",FALSE)</f>
        <v>中川　誠</v>
      </c>
      <c r="D74" s="130" t="str">
        <f t="shared" ref="D74:D89" si="13">IF(C74="","","様")</f>
        <v>様</v>
      </c>
      <c r="E74" s="118" t="str">
        <f>IF(_xlfn.XLOOKUP(ROW(E74)+1-ROW(E$73),報告用!$AC$44:$AC$87,報告用!$E$44:$E$87,"",FALSE)=B74,"",_xlfn.XLOOKUP(ROW(E74)+1-ROW(E$73),報告用!$AC$44:$AC$87,報告用!$E$44:$E$87,"",FALSE))</f>
        <v/>
      </c>
      <c r="F74" s="110"/>
      <c r="G74" s="189"/>
      <c r="H74" s="119">
        <f>_xlfn.XLOOKUP(ROW(H74)+1-ROW(H$73),報告用!$AF$44:$AF$87,報告用!$F$44:$F$87,"",FALSE)</f>
        <v>23</v>
      </c>
      <c r="I74" s="123" t="str">
        <f>_xlfn.XLOOKUP(ROW(I74)+1-ROW(I$73),報告用!$AF$44:$AF$87,報告用!$G$44:$G$87,"",FALSE)</f>
        <v>森下計二</v>
      </c>
      <c r="J74" s="124" t="str">
        <f t="shared" ref="J74:J85" si="14">IF(I74="","","様")</f>
        <v>様</v>
      </c>
      <c r="K74" s="120" t="str">
        <f>IF(_xlfn.XLOOKUP(ROW(K74)+1-ROW(K$73),報告用!$AF$44:$AF$87,報告用!$E$44:$E$87,"",FALSE)=H74,"",_xlfn.XLOOKUP(ROW(K74)+1-ROW(K$73),報告用!$AF$44:$AF$87,報告用!$E$44:$E$87,"",FALSE))</f>
        <v/>
      </c>
      <c r="L74" s="111"/>
      <c r="M74" s="189"/>
      <c r="N74" s="119">
        <f>_xlfn.XLOOKUP(ROW(N74)+1-ROW(N$73),報告用!$AG$44:$AG$87,報告用!$F$44:$F$87,"",FALSE)</f>
        <v>23</v>
      </c>
      <c r="O74" s="123" t="str">
        <f>_xlfn.XLOOKUP(ROW(O74)+1-ROW(O$73),報告用!$AG$44:$AG$87,報告用!$G$44:$G$87,"",FALSE)</f>
        <v>森下計二</v>
      </c>
      <c r="P74" s="124" t="str">
        <f t="shared" ref="P74:P85" si="15">IF(O74="","","様")</f>
        <v>様</v>
      </c>
      <c r="Q74" s="120" t="str">
        <f>IF(_xlfn.XLOOKUP(ROW(Q74)+1-ROW(Q$73),報告用!$AG$44:$AG$87,報告用!$E$44:$E$87,"",FALSE)=N74,"",_xlfn.XLOOKUP(ROW(Q74)+1-ROW(Q$73),報告用!$AG$44:$AG$87,報告用!$E$44:$E$87,"",FALSE))</f>
        <v/>
      </c>
    </row>
    <row r="75" spans="1:17" ht="15.95" customHeight="1">
      <c r="A75" s="180"/>
      <c r="B75" s="117">
        <f>_xlfn.XLOOKUP(ROW(B75)+1-ROW(B$73),報告用!$AC$44:$AC$87,報告用!$F$44:$F$87,"",FALSE)</f>
        <v>25</v>
      </c>
      <c r="C75" s="129" t="str">
        <f>_xlfn.XLOOKUP(ROW(C75)+1-ROW(C$73),報告用!$AC$44:$AC$87,報告用!$G$44:$G$87,"",FALSE)</f>
        <v>★村松　恒彦</v>
      </c>
      <c r="D75" s="130" t="str">
        <f t="shared" si="13"/>
        <v>様</v>
      </c>
      <c r="E75" s="118" t="str">
        <f>IF(_xlfn.XLOOKUP(ROW(E75)+1-ROW(E$73),報告用!$AC$44:$AC$87,報告用!$E$44:$E$87,"",FALSE)=B75,"",_xlfn.XLOOKUP(ROW(E75)+1-ROW(E$73),報告用!$AC$44:$AC$87,報告用!$E$44:$E$87,"",FALSE))</f>
        <v/>
      </c>
      <c r="F75" s="110"/>
      <c r="G75" s="189"/>
      <c r="H75" s="119">
        <f>_xlfn.XLOOKUP(ROW(H75)+1-ROW(H$73),報告用!$AF$44:$AF$87,報告用!$F$44:$F$87,"",FALSE)</f>
        <v>25</v>
      </c>
      <c r="I75" s="123" t="str">
        <f>_xlfn.XLOOKUP(ROW(I75)+1-ROW(I$73),報告用!$AF$44:$AF$87,報告用!$G$44:$G$87,"",FALSE)</f>
        <v>鈴木　賢浄</v>
      </c>
      <c r="J75" s="124" t="str">
        <f t="shared" si="14"/>
        <v>様</v>
      </c>
      <c r="K75" s="120" t="str">
        <f>IF(_xlfn.XLOOKUP(ROW(K75)+1-ROW(K$73),報告用!$AF$44:$AF$87,報告用!$E$44:$E$87,"",FALSE)=H75,"",_xlfn.XLOOKUP(ROW(K75)+1-ROW(K$73),報告用!$AF$44:$AF$87,報告用!$E$44:$E$87,"",FALSE))</f>
        <v/>
      </c>
      <c r="L75" s="111"/>
      <c r="M75" s="189"/>
      <c r="N75" s="119">
        <f>_xlfn.XLOOKUP(ROW(N75)+1-ROW(N$73),報告用!$AG$44:$AG$87,報告用!$F$44:$F$87,"",FALSE)</f>
        <v>25</v>
      </c>
      <c r="O75" s="123" t="str">
        <f>_xlfn.XLOOKUP(ROW(O75)+1-ROW(O$73),報告用!$AG$44:$AG$87,報告用!$G$44:$G$87,"",FALSE)</f>
        <v>鈴木　賢浄</v>
      </c>
      <c r="P75" s="124" t="str">
        <f t="shared" si="15"/>
        <v>様</v>
      </c>
      <c r="Q75" s="120" t="str">
        <f>IF(_xlfn.XLOOKUP(ROW(Q75)+1-ROW(Q$73),報告用!$AG$44:$AG$87,報告用!$E$44:$E$87,"",FALSE)=N75,"",_xlfn.XLOOKUP(ROW(Q75)+1-ROW(Q$73),報告用!$AG$44:$AG$87,報告用!$E$44:$E$87,"",FALSE))</f>
        <v/>
      </c>
    </row>
    <row r="76" spans="1:17" ht="15.95" customHeight="1">
      <c r="A76" s="180"/>
      <c r="B76" s="117">
        <f>_xlfn.XLOOKUP(ROW(B76)+1-ROW(B$73),報告用!$AC$44:$AC$87,報告用!$F$44:$F$87,"",FALSE)</f>
        <v>5</v>
      </c>
      <c r="C76" s="129" t="str">
        <f>_xlfn.XLOOKUP(ROW(C76)+1-ROW(C$73),報告用!$AC$44:$AC$87,報告用!$G$44:$G$87,"",FALSE)</f>
        <v>★横森　宗男</v>
      </c>
      <c r="D76" s="130" t="str">
        <f t="shared" si="13"/>
        <v>様</v>
      </c>
      <c r="E76" s="118" t="str">
        <f>IF(_xlfn.XLOOKUP(ROW(E76)+1-ROW(E$73),報告用!$AC$44:$AC$87,報告用!$E$44:$E$87,"",FALSE)=B76,"",_xlfn.XLOOKUP(ROW(E76)+1-ROW(E$73),報告用!$AC$44:$AC$87,報告用!$E$44:$E$87,"",FALSE))</f>
        <v/>
      </c>
      <c r="F76" s="110"/>
      <c r="G76" s="189"/>
      <c r="H76" s="119">
        <f>_xlfn.XLOOKUP(ROW(H76)+1-ROW(H$73),報告用!$AF$44:$AF$87,報告用!$F$44:$F$87,"",FALSE)</f>
        <v>1</v>
      </c>
      <c r="I76" s="123" t="str">
        <f>_xlfn.XLOOKUP(ROW(I76)+1-ROW(I$73),報告用!$AF$44:$AF$87,報告用!$G$44:$G$87,"",FALSE)</f>
        <v>笹本　定子</v>
      </c>
      <c r="J76" s="124" t="str">
        <f t="shared" si="14"/>
        <v>様</v>
      </c>
      <c r="K76" s="120" t="str">
        <f>IF(_xlfn.XLOOKUP(ROW(K76)+1-ROW(K$73),報告用!$AF$44:$AF$87,報告用!$E$44:$E$87,"",FALSE)=H76,"",_xlfn.XLOOKUP(ROW(K76)+1-ROW(K$73),報告用!$AF$44:$AF$87,報告用!$E$44:$E$87,"",FALSE))</f>
        <v/>
      </c>
      <c r="L76" s="111"/>
      <c r="M76" s="189"/>
      <c r="N76" s="119">
        <f>_xlfn.XLOOKUP(ROW(N76)+1-ROW(N$73),報告用!$AG$44:$AG$87,報告用!$F$44:$F$87,"",FALSE)</f>
        <v>1</v>
      </c>
      <c r="O76" s="123" t="str">
        <f>_xlfn.XLOOKUP(ROW(O76)+1-ROW(O$73),報告用!$AG$44:$AG$87,報告用!$G$44:$G$87,"",FALSE)</f>
        <v>笹本　定子</v>
      </c>
      <c r="P76" s="124" t="str">
        <f t="shared" si="15"/>
        <v>様</v>
      </c>
      <c r="Q76" s="120" t="str">
        <f>IF(_xlfn.XLOOKUP(ROW(Q76)+1-ROW(Q$73),報告用!$AG$44:$AG$87,報告用!$E$44:$E$87,"",FALSE)=N76,"",_xlfn.XLOOKUP(ROW(Q76)+1-ROW(Q$73),報告用!$AG$44:$AG$87,報告用!$E$44:$E$87,"",FALSE))</f>
        <v/>
      </c>
    </row>
    <row r="77" spans="1:17" ht="15.95" customHeight="1">
      <c r="A77" s="180"/>
      <c r="B77" s="117">
        <f>_xlfn.XLOOKUP(ROW(B77)+1-ROW(B$73),報告用!$AC$44:$AC$87,報告用!$F$44:$F$87,"",FALSE)</f>
        <v>6</v>
      </c>
      <c r="C77" s="129" t="str">
        <f>_xlfn.XLOOKUP(ROW(C77)+1-ROW(C$73),報告用!$AC$44:$AC$87,報告用!$G$44:$G$87,"",FALSE)</f>
        <v>★フジイロザスミコ</v>
      </c>
      <c r="D77" s="130" t="str">
        <f t="shared" si="13"/>
        <v>様</v>
      </c>
      <c r="E77" s="118" t="str">
        <f>IF(_xlfn.XLOOKUP(ROW(E77)+1-ROW(E$73),報告用!$AC$44:$AC$87,報告用!$E$44:$E$87,"",FALSE)=B77,"",_xlfn.XLOOKUP(ROW(E77)+1-ROW(E$73),報告用!$AC$44:$AC$87,報告用!$E$44:$E$87,"",FALSE))</f>
        <v/>
      </c>
      <c r="F77" s="110"/>
      <c r="G77" s="189"/>
      <c r="H77" s="119">
        <f>_xlfn.XLOOKUP(ROW(H77)+1-ROW(H$73),報告用!$AF$44:$AF$87,報告用!$F$44:$F$87,"",FALSE)</f>
        <v>3</v>
      </c>
      <c r="I77" s="123" t="str">
        <f>_xlfn.XLOOKUP(ROW(I77)+1-ROW(I$73),報告用!$AF$44:$AF$87,報告用!$G$44:$G$87,"",FALSE)</f>
        <v>コナカザワキクコ</v>
      </c>
      <c r="J77" s="124" t="str">
        <f t="shared" si="14"/>
        <v>様</v>
      </c>
      <c r="K77" s="120">
        <f>IF(_xlfn.XLOOKUP(ROW(K77)+1-ROW(K$73),報告用!$AF$44:$AF$87,報告用!$E$44:$E$87,"",FALSE)=H77,"",_xlfn.XLOOKUP(ROW(K77)+1-ROW(K$73),報告用!$AF$44:$AF$87,報告用!$E$44:$E$87,"",FALSE))</f>
        <v>2</v>
      </c>
      <c r="L77" s="111"/>
      <c r="M77" s="189"/>
      <c r="N77" s="119">
        <f>_xlfn.XLOOKUP(ROW(N77)+1-ROW(N$73),報告用!$AG$44:$AG$87,報告用!$F$44:$F$87,"",FALSE)</f>
        <v>3</v>
      </c>
      <c r="O77" s="123" t="str">
        <f>_xlfn.XLOOKUP(ROW(O77)+1-ROW(O$73),報告用!$AG$44:$AG$87,報告用!$G$44:$G$87,"",FALSE)</f>
        <v>コナカザワキクコ</v>
      </c>
      <c r="P77" s="124" t="str">
        <f t="shared" si="15"/>
        <v>様</v>
      </c>
      <c r="Q77" s="120">
        <f>IF(_xlfn.XLOOKUP(ROW(Q77)+1-ROW(Q$73),報告用!$AG$44:$AG$87,報告用!$E$44:$E$87,"",FALSE)=N77,"",_xlfn.XLOOKUP(ROW(Q77)+1-ROW(Q$73),報告用!$AG$44:$AG$87,報告用!$E$44:$E$87,"",FALSE))</f>
        <v>2</v>
      </c>
    </row>
    <row r="78" spans="1:17" ht="15.95" customHeight="1">
      <c r="A78" s="180"/>
      <c r="B78" s="117">
        <f>_xlfn.XLOOKUP(ROW(B78)+1-ROW(B$73),報告用!$AC$44:$AC$87,報告用!$F$44:$F$87,"",FALSE)</f>
        <v>7</v>
      </c>
      <c r="C78" s="129" t="str">
        <f>_xlfn.XLOOKUP(ROW(C78)+1-ROW(C$73),報告用!$AC$44:$AC$87,報告用!$G$44:$G$87,"",FALSE)</f>
        <v>★佐藤　光正</v>
      </c>
      <c r="D78" s="130" t="str">
        <f t="shared" si="13"/>
        <v>様</v>
      </c>
      <c r="E78" s="118" t="str">
        <f>IF(_xlfn.XLOOKUP(ROW(E78)+1-ROW(E$73),報告用!$AC$44:$AC$87,報告用!$E$44:$E$87,"",FALSE)=B78,"",_xlfn.XLOOKUP(ROW(E78)+1-ROW(E$73),報告用!$AC$44:$AC$87,報告用!$E$44:$E$87,"",FALSE))</f>
        <v/>
      </c>
      <c r="F78" s="110"/>
      <c r="G78" s="189"/>
      <c r="H78" s="119">
        <f>_xlfn.XLOOKUP(ROW(H78)+1-ROW(H$73),報告用!$AF$44:$AF$87,報告用!$F$44:$F$87,"",FALSE)</f>
        <v>5</v>
      </c>
      <c r="I78" s="123" t="str">
        <f>_xlfn.XLOOKUP(ROW(I78)+1-ROW(I$73),報告用!$AF$44:$AF$87,報告用!$G$44:$G$87,"",FALSE)</f>
        <v>高田 保英</v>
      </c>
      <c r="J78" s="124" t="str">
        <f t="shared" si="14"/>
        <v>様</v>
      </c>
      <c r="K78" s="120">
        <f>IF(_xlfn.XLOOKUP(ROW(K78)+1-ROW(K$73),報告用!$AF$44:$AF$87,報告用!$E$44:$E$87,"",FALSE)=H78,"",_xlfn.XLOOKUP(ROW(K78)+1-ROW(K$73),報告用!$AF$44:$AF$87,報告用!$E$44:$E$87,"",FALSE))</f>
        <v>25</v>
      </c>
      <c r="L78" s="111"/>
      <c r="M78" s="189"/>
      <c r="N78" s="119">
        <f>_xlfn.XLOOKUP(ROW(N78)+1-ROW(N$73),報告用!$AG$44:$AG$87,報告用!$F$44:$F$87,"",FALSE)</f>
        <v>5</v>
      </c>
      <c r="O78" s="123" t="str">
        <f>_xlfn.XLOOKUP(ROW(O78)+1-ROW(O$73),報告用!$AG$44:$AG$87,報告用!$G$44:$G$87,"",FALSE)</f>
        <v>高田 保英</v>
      </c>
      <c r="P78" s="124" t="str">
        <f t="shared" si="15"/>
        <v>様</v>
      </c>
      <c r="Q78" s="120">
        <f>IF(_xlfn.XLOOKUP(ROW(Q78)+1-ROW(Q$73),報告用!$AG$44:$AG$87,報告用!$E$44:$E$87,"",FALSE)=N78,"",_xlfn.XLOOKUP(ROW(Q78)+1-ROW(Q$73),報告用!$AG$44:$AG$87,報告用!$E$44:$E$87,"",FALSE))</f>
        <v>25</v>
      </c>
    </row>
    <row r="79" spans="1:17" ht="15.95" customHeight="1">
      <c r="A79" s="180"/>
      <c r="B79" s="117" t="str">
        <f>_xlfn.XLOOKUP(ROW(B79)+1-ROW(B$73),報告用!$AC$44:$AC$87,報告用!$F$44:$F$87,"",FALSE)</f>
        <v/>
      </c>
      <c r="C79" s="129" t="str">
        <f>_xlfn.XLOOKUP(ROW(C79)+1-ROW(C$73),報告用!$AC$44:$AC$87,報告用!$G$44:$G$87,"",FALSE)</f>
        <v/>
      </c>
      <c r="D79" s="130" t="str">
        <f t="shared" si="13"/>
        <v/>
      </c>
      <c r="E79" s="118" t="str">
        <f>IF(_xlfn.XLOOKUP(ROW(E79)+1-ROW(E$73),報告用!$AC$44:$AC$87,報告用!$E$44:$E$87,"",FALSE)=B79,"",_xlfn.XLOOKUP(ROW(E79)+1-ROW(E$73),報告用!$AC$44:$AC$87,報告用!$E$44:$E$87,"",FALSE))</f>
        <v/>
      </c>
      <c r="F79" s="110"/>
      <c r="G79" s="189"/>
      <c r="H79" s="119">
        <f>_xlfn.XLOOKUP(ROW(H79)+1-ROW(H$73),報告用!$AF$44:$AF$87,報告用!$F$44:$F$87,"",FALSE)</f>
        <v>8</v>
      </c>
      <c r="I79" s="123" t="str">
        <f>_xlfn.XLOOKUP(ROW(I79)+1-ROW(I$73),報告用!$AF$44:$AF$87,報告用!$G$44:$G$87,"",FALSE)</f>
        <v>望月　昭利(短時間)</v>
      </c>
      <c r="J79" s="124" t="str">
        <f t="shared" si="14"/>
        <v>様</v>
      </c>
      <c r="K79" s="120">
        <f>IF(_xlfn.XLOOKUP(ROW(K79)+1-ROW(K$73),報告用!$AF$44:$AF$87,報告用!$E$44:$E$87,"",FALSE)=H79,"",_xlfn.XLOOKUP(ROW(K79)+1-ROW(K$73),報告用!$AF$44:$AF$87,報告用!$E$44:$E$87,"",FALSE))</f>
        <v>5</v>
      </c>
      <c r="L79" s="111"/>
      <c r="M79" s="189"/>
      <c r="N79" s="119">
        <f>_xlfn.XLOOKUP(ROW(N79)+1-ROW(N$73),報告用!$AG$44:$AG$87,報告用!$F$44:$F$87,"",FALSE)</f>
        <v>8</v>
      </c>
      <c r="O79" s="123" t="str">
        <f>_xlfn.XLOOKUP(ROW(O79)+1-ROW(O$73),報告用!$AG$44:$AG$87,報告用!$G$44:$G$87,"",FALSE)</f>
        <v>望月　昭利(短時間)</v>
      </c>
      <c r="P79" s="124" t="str">
        <f t="shared" si="15"/>
        <v>様</v>
      </c>
      <c r="Q79" s="120">
        <f>IF(_xlfn.XLOOKUP(ROW(Q79)+1-ROW(Q$73),報告用!$AG$44:$AG$87,報告用!$E$44:$E$87,"",FALSE)=N79,"",_xlfn.XLOOKUP(ROW(Q79)+1-ROW(Q$73),報告用!$AG$44:$AG$87,報告用!$E$44:$E$87,"",FALSE))</f>
        <v>5</v>
      </c>
    </row>
    <row r="80" spans="1:17" ht="15.95" customHeight="1">
      <c r="A80" s="180"/>
      <c r="B80" s="117" t="str">
        <f>_xlfn.XLOOKUP(ROW(B80)+1-ROW(B$73),報告用!$AC$44:$AC$87,報告用!$F$44:$F$87,"",FALSE)</f>
        <v/>
      </c>
      <c r="C80" s="129" t="str">
        <f>_xlfn.XLOOKUP(ROW(C80)+1-ROW(C$73),報告用!$AC$44:$AC$87,報告用!$G$44:$G$87,"",FALSE)</f>
        <v/>
      </c>
      <c r="D80" s="130" t="str">
        <f t="shared" si="13"/>
        <v/>
      </c>
      <c r="E80" s="118" t="str">
        <f>IF(_xlfn.XLOOKUP(ROW(E80)+1-ROW(E$73),報告用!$AC$44:$AC$87,報告用!$E$44:$E$87,"",FALSE)=B80,"",_xlfn.XLOOKUP(ROW(E80)+1-ROW(E$73),報告用!$AC$44:$AC$87,報告用!$E$44:$E$87,"",FALSE))</f>
        <v/>
      </c>
      <c r="F80" s="110"/>
      <c r="G80" s="189"/>
      <c r="H80" s="119">
        <f>_xlfn.XLOOKUP(ROW(H80)+1-ROW(H$73),報告用!$AF$44:$AF$87,報告用!$F$44:$F$87,"",FALSE)</f>
        <v>12</v>
      </c>
      <c r="I80" s="123" t="str">
        <f>_xlfn.XLOOKUP(ROW(I80)+1-ROW(I$73),報告用!$AF$44:$AF$87,報告用!$G$44:$G$87,"",FALSE)</f>
        <v>馬塲 日出子</v>
      </c>
      <c r="J80" s="124" t="str">
        <f t="shared" si="14"/>
        <v>様</v>
      </c>
      <c r="K80" s="120" t="str">
        <f>IF(_xlfn.XLOOKUP(ROW(K80)+1-ROW(K$73),報告用!$AF$44:$AF$87,報告用!$E$44:$E$87,"",FALSE)=H80,"",_xlfn.XLOOKUP(ROW(K80)+1-ROW(K$73),報告用!$AF$44:$AF$87,報告用!$E$44:$E$87,"",FALSE))</f>
        <v/>
      </c>
      <c r="L80" s="111"/>
      <c r="M80" s="189"/>
      <c r="N80" s="119">
        <f>_xlfn.XLOOKUP(ROW(N80)+1-ROW(N$73),報告用!$AG$44:$AG$87,報告用!$F$44:$F$87,"",FALSE)</f>
        <v>10</v>
      </c>
      <c r="O80" s="123" t="str">
        <f>_xlfn.XLOOKUP(ROW(O80)+1-ROW(O$73),報告用!$AG$44:$AG$87,報告用!$G$44:$G$87,"",FALSE)</f>
        <v>古屋　桂子</v>
      </c>
      <c r="P80" s="124" t="str">
        <f t="shared" si="15"/>
        <v>様</v>
      </c>
      <c r="Q80" s="120">
        <f>IF(_xlfn.XLOOKUP(ROW(Q80)+1-ROW(Q$73),報告用!$AG$44:$AG$87,報告用!$E$44:$E$87,"",FALSE)=N80,"",_xlfn.XLOOKUP(ROW(Q80)+1-ROW(Q$73),報告用!$AG$44:$AG$87,報告用!$E$44:$E$87,"",FALSE))</f>
        <v>12</v>
      </c>
    </row>
    <row r="81" spans="1:17" ht="15.95" customHeight="1">
      <c r="A81" s="180"/>
      <c r="B81" s="117" t="str">
        <f>_xlfn.XLOOKUP(ROW(B81)+1-ROW(B$73),報告用!$AC$44:$AC$87,報告用!$F$44:$F$87,"",FALSE)</f>
        <v/>
      </c>
      <c r="C81" s="129" t="str">
        <f>_xlfn.XLOOKUP(ROW(C81)+1-ROW(C$73),報告用!$AC$44:$AC$87,報告用!$G$44:$G$87,"",FALSE)</f>
        <v/>
      </c>
      <c r="D81" s="130" t="str">
        <f t="shared" si="13"/>
        <v/>
      </c>
      <c r="E81" s="118" t="str">
        <f>IF(_xlfn.XLOOKUP(ROW(E81)+1-ROW(E$73),報告用!$AC$44:$AC$87,報告用!$E$44:$E$87,"",FALSE)=B81,"",_xlfn.XLOOKUP(ROW(E81)+1-ROW(E$73),報告用!$AC$44:$AC$87,報告用!$E$44:$E$87,"",FALSE))</f>
        <v/>
      </c>
      <c r="F81" s="110"/>
      <c r="G81" s="189"/>
      <c r="H81" s="119" t="str">
        <f>_xlfn.XLOOKUP(ROW(H81)+1-ROW(H$73),報告用!$AF$44:$AF$87,報告用!$F$44:$F$87,"",FALSE)</f>
        <v/>
      </c>
      <c r="I81" s="123" t="str">
        <f>_xlfn.XLOOKUP(ROW(I81)+1-ROW(I$73),報告用!$AF$44:$AF$87,報告用!$G$44:$G$87,"",FALSE)</f>
        <v/>
      </c>
      <c r="J81" s="124" t="str">
        <f t="shared" si="14"/>
        <v/>
      </c>
      <c r="K81" s="120" t="str">
        <f>IF(_xlfn.XLOOKUP(ROW(K81)+1-ROW(K$73),報告用!$AF$44:$AF$87,報告用!$E$44:$E$87,"",FALSE)=H81,"",_xlfn.XLOOKUP(ROW(K81)+1-ROW(K$73),報告用!$AF$44:$AF$87,報告用!$E$44:$E$87,"",FALSE))</f>
        <v/>
      </c>
      <c r="L81" s="111"/>
      <c r="M81" s="189"/>
      <c r="N81" s="119" t="str">
        <f>_xlfn.XLOOKUP(ROW(N81)+1-ROW(N$73),報告用!$AG$44:$AG$87,報告用!$F$44:$F$87,"",FALSE)</f>
        <v/>
      </c>
      <c r="O81" s="123" t="str">
        <f>_xlfn.XLOOKUP(ROW(O81)+1-ROW(O$73),報告用!$AG$44:$AG$87,報告用!$G$44:$G$87,"",FALSE)</f>
        <v/>
      </c>
      <c r="P81" s="124" t="str">
        <f t="shared" si="15"/>
        <v/>
      </c>
      <c r="Q81" s="120" t="str">
        <f>IF(_xlfn.XLOOKUP(ROW(Q81)+1-ROW(Q$73),報告用!$AG$44:$AG$87,報告用!$E$44:$E$87,"",FALSE)=N81,"",_xlfn.XLOOKUP(ROW(Q81)+1-ROW(Q$73),報告用!$AG$44:$AG$87,報告用!$E$44:$E$87,"",FALSE))</f>
        <v/>
      </c>
    </row>
    <row r="82" spans="1:17" ht="15.95" customHeight="1">
      <c r="A82" s="180"/>
      <c r="B82" s="117" t="str">
        <f>_xlfn.XLOOKUP(ROW(B82)+1-ROW(B$73),報告用!$AC$44:$AC$87,報告用!$F$44:$F$87,"",FALSE)</f>
        <v/>
      </c>
      <c r="C82" s="129" t="str">
        <f>_xlfn.XLOOKUP(ROW(C82)+1-ROW(C$73),報告用!$AC$44:$AC$87,報告用!$G$44:$G$87,"",FALSE)</f>
        <v/>
      </c>
      <c r="D82" s="130" t="str">
        <f t="shared" si="13"/>
        <v/>
      </c>
      <c r="E82" s="118" t="str">
        <f>IF(_xlfn.XLOOKUP(ROW(E82)+1-ROW(E$73),報告用!$AC$44:$AC$87,報告用!$E$44:$E$87,"",FALSE)=B82,"",_xlfn.XLOOKUP(ROW(E82)+1-ROW(E$73),報告用!$AC$44:$AC$87,報告用!$E$44:$E$87,"",FALSE))</f>
        <v/>
      </c>
      <c r="F82" s="110"/>
      <c r="G82" s="189"/>
      <c r="H82" s="119" t="str">
        <f>_xlfn.XLOOKUP(ROW(H82)+1-ROW(H$73),報告用!$AF$44:$AF$87,報告用!$F$44:$F$87,"",FALSE)</f>
        <v/>
      </c>
      <c r="I82" s="123" t="str">
        <f>_xlfn.XLOOKUP(ROW(I82)+1-ROW(I$73),報告用!$AF$44:$AF$87,報告用!$G$44:$G$87,"",FALSE)</f>
        <v/>
      </c>
      <c r="J82" s="124" t="str">
        <f t="shared" si="14"/>
        <v/>
      </c>
      <c r="K82" s="120" t="str">
        <f>IF(_xlfn.XLOOKUP(ROW(K82)+1-ROW(K$73),報告用!$AF$44:$AF$87,報告用!$E$44:$E$87,"",FALSE)=H82,"",_xlfn.XLOOKUP(ROW(K82)+1-ROW(K$73),報告用!$AF$44:$AF$87,報告用!$E$44:$E$87,"",FALSE))</f>
        <v/>
      </c>
      <c r="L82" s="111"/>
      <c r="M82" s="189"/>
      <c r="N82" s="119" t="str">
        <f>_xlfn.XLOOKUP(ROW(N82)+1-ROW(N$73),報告用!$AG$44:$AG$87,報告用!$F$44:$F$87,"",FALSE)</f>
        <v/>
      </c>
      <c r="O82" s="123" t="str">
        <f>_xlfn.XLOOKUP(ROW(O82)+1-ROW(O$73),報告用!$AG$44:$AG$87,報告用!$G$44:$G$87,"",FALSE)</f>
        <v/>
      </c>
      <c r="P82" s="124" t="str">
        <f t="shared" si="15"/>
        <v/>
      </c>
      <c r="Q82" s="120" t="str">
        <f>IF(_xlfn.XLOOKUP(ROW(Q82)+1-ROW(Q$73),報告用!$AG$44:$AG$87,報告用!$E$44:$E$87,"",FALSE)=N82,"",_xlfn.XLOOKUP(ROW(Q82)+1-ROW(Q$73),報告用!$AG$44:$AG$87,報告用!$E$44:$E$87,"",FALSE))</f>
        <v/>
      </c>
    </row>
    <row r="83" spans="1:17" ht="15.95" customHeight="1">
      <c r="A83" s="180"/>
      <c r="B83" s="117" t="str">
        <f>_xlfn.XLOOKUP(ROW(B83)+1-ROW(B$73),報告用!$AC$44:$AC$87,報告用!$F$44:$F$87,"",FALSE)</f>
        <v/>
      </c>
      <c r="C83" s="129" t="str">
        <f>_xlfn.XLOOKUP(ROW(C83)+1-ROW(C$73),報告用!$AC$44:$AC$87,報告用!$G$44:$G$87,"",FALSE)</f>
        <v/>
      </c>
      <c r="D83" s="130" t="str">
        <f t="shared" si="13"/>
        <v/>
      </c>
      <c r="E83" s="118" t="str">
        <f>IF(_xlfn.XLOOKUP(ROW(E83)+1-ROW(E$73),報告用!$AC$44:$AC$87,報告用!$E$44:$E$87,"",FALSE)=B83,"",_xlfn.XLOOKUP(ROW(E83)+1-ROW(E$73),報告用!$AC$44:$AC$87,報告用!$E$44:$E$87,"",FALSE))</f>
        <v/>
      </c>
      <c r="F83" s="110"/>
      <c r="G83" s="189"/>
      <c r="H83" s="119" t="str">
        <f>_xlfn.XLOOKUP(ROW(H83)+1-ROW(H$73),報告用!$AF$44:$AF$87,報告用!$F$44:$F$87,"",FALSE)</f>
        <v/>
      </c>
      <c r="I83" s="123" t="str">
        <f>_xlfn.XLOOKUP(ROW(I83)+1-ROW(I$73),報告用!$AF$44:$AF$87,報告用!$G$44:$G$87,"",FALSE)</f>
        <v/>
      </c>
      <c r="J83" s="124" t="str">
        <f t="shared" si="14"/>
        <v/>
      </c>
      <c r="K83" s="120" t="str">
        <f>IF(_xlfn.XLOOKUP(ROW(K83)+1-ROW(K$73),報告用!$AF$44:$AF$87,報告用!$E$44:$E$87,"",FALSE)=H83,"",_xlfn.XLOOKUP(ROW(K83)+1-ROW(K$73),報告用!$AF$44:$AF$87,報告用!$E$44:$E$87,"",FALSE))</f>
        <v/>
      </c>
      <c r="L83" s="111"/>
      <c r="M83" s="189"/>
      <c r="N83" s="119" t="str">
        <f>_xlfn.XLOOKUP(ROW(N83)+1-ROW(N$73),報告用!$AG$44:$AG$87,報告用!$F$44:$F$87,"",FALSE)</f>
        <v/>
      </c>
      <c r="O83" s="123" t="str">
        <f>_xlfn.XLOOKUP(ROW(O83)+1-ROW(O$73),報告用!$AG$44:$AG$87,報告用!$G$44:$G$87,"",FALSE)</f>
        <v/>
      </c>
      <c r="P83" s="124" t="str">
        <f t="shared" si="15"/>
        <v/>
      </c>
      <c r="Q83" s="120" t="str">
        <f>IF(_xlfn.XLOOKUP(ROW(Q83)+1-ROW(Q$73),報告用!$AG$44:$AG$87,報告用!$E$44:$E$87,"",FALSE)=N83,"",_xlfn.XLOOKUP(ROW(Q83)+1-ROW(Q$73),報告用!$AG$44:$AG$87,報告用!$E$44:$E$87,"",FALSE))</f>
        <v/>
      </c>
    </row>
    <row r="84" spans="1:17" ht="15.95" customHeight="1">
      <c r="A84" s="180"/>
      <c r="B84" s="117" t="str">
        <f>_xlfn.XLOOKUP(ROW(B84)+1-ROW(B$73),報告用!$AC$44:$AC$87,報告用!$F$44:$F$87,"",FALSE)</f>
        <v/>
      </c>
      <c r="C84" s="129" t="str">
        <f>_xlfn.XLOOKUP(ROW(C84)+1-ROW(C$73),報告用!$AC$44:$AC$87,報告用!$G$44:$G$87,"",FALSE)</f>
        <v/>
      </c>
      <c r="D84" s="130" t="str">
        <f t="shared" si="13"/>
        <v/>
      </c>
      <c r="E84" s="118" t="str">
        <f>IF(_xlfn.XLOOKUP(ROW(E84)+1-ROW(E$73),報告用!$AC$44:$AC$87,報告用!$E$44:$E$87,"",FALSE)=B84,"",_xlfn.XLOOKUP(ROW(E84)+1-ROW(E$73),報告用!$AC$44:$AC$87,報告用!$E$44:$E$87,"",FALSE))</f>
        <v/>
      </c>
      <c r="F84" s="110"/>
      <c r="G84" s="189"/>
      <c r="H84" s="119" t="str">
        <f>_xlfn.XLOOKUP(ROW(H84)+1-ROW(H$73),報告用!$AF$44:$AF$87,報告用!$F$44:$F$87,"",FALSE)</f>
        <v/>
      </c>
      <c r="I84" s="123" t="str">
        <f>_xlfn.XLOOKUP(ROW(I84)+1-ROW(I$73),報告用!$AF$44:$AF$87,報告用!$G$44:$G$87,"",FALSE)</f>
        <v/>
      </c>
      <c r="J84" s="124" t="str">
        <f t="shared" si="14"/>
        <v/>
      </c>
      <c r="K84" s="120" t="str">
        <f>IF(_xlfn.XLOOKUP(ROW(K84)+1-ROW(K$73),報告用!$AF$44:$AF$87,報告用!$E$44:$E$87,"",FALSE)=H84,"",_xlfn.XLOOKUP(ROW(K84)+1-ROW(K$73),報告用!$AF$44:$AF$87,報告用!$E$44:$E$87,"",FALSE))</f>
        <v/>
      </c>
      <c r="L84" s="111"/>
      <c r="M84" s="189"/>
      <c r="N84" s="119" t="str">
        <f>_xlfn.XLOOKUP(ROW(N84)+1-ROW(N$73),報告用!$AG$44:$AG$87,報告用!$F$44:$F$87,"",FALSE)</f>
        <v/>
      </c>
      <c r="O84" s="123" t="str">
        <f>_xlfn.XLOOKUP(ROW(O84)+1-ROW(O$73),報告用!$AG$44:$AG$87,報告用!$G$44:$G$87,"",FALSE)</f>
        <v/>
      </c>
      <c r="P84" s="124" t="str">
        <f t="shared" si="15"/>
        <v/>
      </c>
      <c r="Q84" s="120" t="str">
        <f>IF(_xlfn.XLOOKUP(ROW(Q84)+1-ROW(Q$73),報告用!$AG$44:$AG$87,報告用!$E$44:$E$87,"",FALSE)=N84,"",_xlfn.XLOOKUP(ROW(Q84)+1-ROW(Q$73),報告用!$AG$44:$AG$87,報告用!$E$44:$E$87,"",FALSE))</f>
        <v/>
      </c>
    </row>
    <row r="85" spans="1:17" ht="15.95" customHeight="1" thickBot="1">
      <c r="A85" s="180"/>
      <c r="B85" s="117" t="str">
        <f>_xlfn.XLOOKUP(ROW(B85)+1-ROW(B$73),報告用!$AC$44:$AC$87,報告用!$F$44:$F$87,"",FALSE)</f>
        <v/>
      </c>
      <c r="C85" s="129" t="str">
        <f>_xlfn.XLOOKUP(ROW(C85)+1-ROW(C$73),報告用!$AC$44:$AC$87,報告用!$G$44:$G$87,"",FALSE)</f>
        <v/>
      </c>
      <c r="D85" s="130" t="str">
        <f t="shared" si="13"/>
        <v/>
      </c>
      <c r="E85" s="118" t="str">
        <f>IF(_xlfn.XLOOKUP(ROW(E85)+1-ROW(E$73),報告用!$AC$44:$AC$87,報告用!$E$44:$E$87,"",FALSE)=B85,"",_xlfn.XLOOKUP(ROW(E85)+1-ROW(E$73),報告用!$AC$44:$AC$87,報告用!$E$44:$E$87,"",FALSE))</f>
        <v/>
      </c>
      <c r="F85" s="110"/>
      <c r="G85" s="190"/>
      <c r="H85" s="125" t="str">
        <f>_xlfn.XLOOKUP(ROW(H85)+1-ROW(H$73),報告用!$AF$44:$AF$87,報告用!$F$44:$F$87,"",FALSE)</f>
        <v/>
      </c>
      <c r="I85" s="126" t="str">
        <f>_xlfn.XLOOKUP(ROW(I85)+1-ROW(I$73),報告用!$AF$44:$AF$87,報告用!$G$44:$G$87,"",FALSE)</f>
        <v/>
      </c>
      <c r="J85" s="127" t="str">
        <f t="shared" si="14"/>
        <v/>
      </c>
      <c r="K85" s="128" t="str">
        <f>IF(_xlfn.XLOOKUP(ROW(K85)+1-ROW(K$73),報告用!$AF$44:$AF$87,報告用!$E$44:$E$87,"",FALSE)=H85,"",_xlfn.XLOOKUP(ROW(K85)+1-ROW(K$73),報告用!$AF$44:$AF$87,報告用!$E$44:$E$87,"",FALSE))</f>
        <v/>
      </c>
      <c r="L85" s="111"/>
      <c r="M85" s="190"/>
      <c r="N85" s="125" t="str">
        <f>_xlfn.XLOOKUP(ROW(N85)+1-ROW(N$73),報告用!$AG$44:$AG$87,報告用!$F$44:$F$87,"",FALSE)</f>
        <v/>
      </c>
      <c r="O85" s="126" t="str">
        <f>_xlfn.XLOOKUP(ROW(O85)+1-ROW(O$73),報告用!$AG$44:$AG$87,報告用!$G$44:$G$87,"",FALSE)</f>
        <v/>
      </c>
      <c r="P85" s="127" t="str">
        <f t="shared" si="15"/>
        <v/>
      </c>
      <c r="Q85" s="128" t="str">
        <f>IF(_xlfn.XLOOKUP(ROW(Q85)+1-ROW(Q$73),報告用!$AG$44:$AG$87,報告用!$E$44:$E$87,"",FALSE)=N85,"",_xlfn.XLOOKUP(ROW(Q85)+1-ROW(Q$73),報告用!$AG$44:$AG$87,報告用!$E$44:$E$87,"",FALSE))</f>
        <v/>
      </c>
    </row>
    <row r="86" spans="1:17" ht="15.95" customHeight="1" thickTop="1">
      <c r="A86" s="180"/>
      <c r="B86" s="117" t="str">
        <f>_xlfn.XLOOKUP(ROW(B86)+1-ROW(B$73),報告用!$AC$44:$AC$87,報告用!$F$44:$F$87,"",FALSE)</f>
        <v/>
      </c>
      <c r="C86" s="129" t="str">
        <f>_xlfn.XLOOKUP(ROW(C86)+1-ROW(C$73),報告用!$AC$44:$AC$87,報告用!$G$44:$G$87,"",FALSE)</f>
        <v/>
      </c>
      <c r="D86" s="130" t="str">
        <f t="shared" si="13"/>
        <v/>
      </c>
      <c r="E86" s="118" t="str">
        <f>IF(_xlfn.XLOOKUP(ROW(E86)+1-ROW(E$73),報告用!$AC$44:$AC$87,報告用!$E$44:$E$87,"",FALSE)=B86,"",_xlfn.XLOOKUP(ROW(E86)+1-ROW(E$73),報告用!$AC$44:$AC$87,報告用!$E$44:$E$87,"",FALSE))</f>
        <v/>
      </c>
      <c r="F86" s="110"/>
      <c r="G86" s="179" t="s">
        <v>25</v>
      </c>
      <c r="H86" s="119">
        <f>_xlfn.XLOOKUP(ROW(H86)+1-ROW(H$86),報告用!$AK$44:$AK$87,報告用!$F$44:$F$87,"",FALSE)</f>
        <v>23</v>
      </c>
      <c r="I86" s="123" t="str">
        <f>_xlfn.XLOOKUP(ROW(I86)+1-ROW(I$86),報告用!$AK$44:$AK$87,報告用!$G$44:$G$87,"",FALSE)</f>
        <v>森下計二</v>
      </c>
      <c r="J86" s="124" t="str">
        <f>IF(I86="","","様")</f>
        <v>様</v>
      </c>
      <c r="K86" s="120" t="str">
        <f>IF(_xlfn.XLOOKUP(ROW(K86)+1-ROW(K$86),報告用!$AK$44:$AK$87,報告用!$E$44:$E$87,"",FALSE)=H86,"",_xlfn.XLOOKUP(ROW(K86)+1-ROW(K$86),報告用!$AK$44:$AK$87,報告用!$E$44:$E$87,"",FALSE))</f>
        <v/>
      </c>
      <c r="L86" s="111"/>
      <c r="M86" s="179" t="s">
        <v>25</v>
      </c>
      <c r="N86" s="119">
        <f>_xlfn.XLOOKUP(ROW(N86)+1-ROW(N$86),報告用!$AL$44:$AL$87,報告用!$F$44:$F$87,"",FALSE)</f>
        <v>23</v>
      </c>
      <c r="O86" s="123" t="str">
        <f>_xlfn.XLOOKUP(ROW(O86)+1-ROW(O$86),報告用!$AL$44:$AL$87,報告用!$G$44:$G$87,"",FALSE)</f>
        <v>森下計二</v>
      </c>
      <c r="P86" s="124" t="str">
        <f>IF(O86="","","様")</f>
        <v>様</v>
      </c>
      <c r="Q86" s="120" t="str">
        <f>IF(_xlfn.XLOOKUP(ROW(Q86)+1-ROW(Q$86),報告用!$AL$44:$AL$87,報告用!$E$44:$E$87,"",FALSE)=N86,"",_xlfn.XLOOKUP(ROW(Q86)+1-ROW(Q$86),報告用!$AL$44:$AL$87,報告用!$E$44:$E$87,"",FALSE))</f>
        <v/>
      </c>
    </row>
    <row r="87" spans="1:17" ht="15.95" customHeight="1">
      <c r="A87" s="180"/>
      <c r="B87" s="117" t="str">
        <f>_xlfn.XLOOKUP(ROW(B87)+1-ROW(B$73),報告用!$AC$44:$AC$87,報告用!$F$44:$F$87,"",FALSE)</f>
        <v/>
      </c>
      <c r="C87" s="129" t="str">
        <f>_xlfn.XLOOKUP(ROW(C87)+1-ROW(C$73),報告用!$AC$44:$AC$87,報告用!$G$44:$G$87,"",FALSE)</f>
        <v/>
      </c>
      <c r="D87" s="130" t="str">
        <f t="shared" si="13"/>
        <v/>
      </c>
      <c r="E87" s="118" t="str">
        <f>IF(_xlfn.XLOOKUP(ROW(E87)+1-ROW(E$73),報告用!$AC$44:$AC$87,報告用!$E$44:$E$87,"",FALSE)=B87,"",_xlfn.XLOOKUP(ROW(E87)+1-ROW(E$73),報告用!$AC$44:$AC$87,報告用!$E$44:$E$87,"",FALSE))</f>
        <v/>
      </c>
      <c r="F87" s="110"/>
      <c r="G87" s="180"/>
      <c r="H87" s="119">
        <f>_xlfn.XLOOKUP(ROW(H87)+1-ROW(H$86),報告用!$AK$44:$AK$87,報告用!$F$44:$F$87,"",FALSE)</f>
        <v>23</v>
      </c>
      <c r="I87" s="123" t="str">
        <f>_xlfn.XLOOKUP(ROW(I87)+1-ROW(I$86),報告用!$AK$44:$AK$87,報告用!$G$44:$G$87,"",FALSE)</f>
        <v>遠山　貞一</v>
      </c>
      <c r="J87" s="124" t="str">
        <f t="shared" ref="J87:J102" si="16">IF(I87="","","様")</f>
        <v>様</v>
      </c>
      <c r="K87" s="120" t="str">
        <f>IF(_xlfn.XLOOKUP(ROW(K87)+1-ROW(K$86),報告用!$AK$44:$AK$87,報告用!$E$44:$E$87,"",FALSE)=H87,"",_xlfn.XLOOKUP(ROW(K87)+1-ROW(K$86),報告用!$AK$44:$AK$87,報告用!$E$44:$E$87,"",FALSE))</f>
        <v/>
      </c>
      <c r="L87" s="111"/>
      <c r="M87" s="180"/>
      <c r="N87" s="119">
        <f>_xlfn.XLOOKUP(ROW(N87)+1-ROW(N$86),報告用!$AL$44:$AL$87,報告用!$F$44:$F$87,"",FALSE)</f>
        <v>23</v>
      </c>
      <c r="O87" s="123" t="str">
        <f>_xlfn.XLOOKUP(ROW(O87)+1-ROW(O$86),報告用!$AL$44:$AL$87,報告用!$G$44:$G$87,"",FALSE)</f>
        <v>遠山　貞一</v>
      </c>
      <c r="P87" s="124" t="str">
        <f t="shared" ref="P87:P102" si="17">IF(O87="","","様")</f>
        <v>様</v>
      </c>
      <c r="Q87" s="120" t="str">
        <f>IF(_xlfn.XLOOKUP(ROW(Q87)+1-ROW(Q$86),報告用!$AL$44:$AL$87,報告用!$E$44:$E$87,"",FALSE)=N87,"",_xlfn.XLOOKUP(ROW(Q87)+1-ROW(Q$86),報告用!$AL$44:$AL$87,報告用!$E$44:$E$87,"",FALSE))</f>
        <v/>
      </c>
    </row>
    <row r="88" spans="1:17" ht="15.95" customHeight="1">
      <c r="A88" s="180"/>
      <c r="B88" s="117" t="str">
        <f>_xlfn.XLOOKUP(ROW(B88)+1-ROW(B$73),報告用!$AC$44:$AC$87,報告用!$F$44:$F$87,"",FALSE)</f>
        <v/>
      </c>
      <c r="C88" s="129" t="str">
        <f>_xlfn.XLOOKUP(ROW(C88)+1-ROW(C$73),報告用!$AC$44:$AC$87,報告用!$G$44:$G$87,"",FALSE)</f>
        <v/>
      </c>
      <c r="D88" s="130" t="str">
        <f t="shared" si="13"/>
        <v/>
      </c>
      <c r="E88" s="118" t="str">
        <f>IF(_xlfn.XLOOKUP(ROW(E88)+1-ROW(E$73),報告用!$AC$44:$AC$87,報告用!$E$44:$E$87,"",FALSE)=B88,"",_xlfn.XLOOKUP(ROW(E88)+1-ROW(E$73),報告用!$AC$44:$AC$87,報告用!$E$44:$E$87,"",FALSE))</f>
        <v/>
      </c>
      <c r="F88" s="110"/>
      <c r="G88" s="180"/>
      <c r="H88" s="119">
        <f>_xlfn.XLOOKUP(ROW(H88)+1-ROW(H$86),報告用!$AK$44:$AK$87,報告用!$F$44:$F$87,"",FALSE)</f>
        <v>25</v>
      </c>
      <c r="I88" s="123" t="str">
        <f>_xlfn.XLOOKUP(ROW(I88)+1-ROW(I$86),報告用!$AK$44:$AK$87,報告用!$G$44:$G$87,"",FALSE)</f>
        <v>千野　周恵</v>
      </c>
      <c r="J88" s="124" t="str">
        <f t="shared" si="16"/>
        <v>様</v>
      </c>
      <c r="K88" s="120" t="str">
        <f>IF(_xlfn.XLOOKUP(ROW(K88)+1-ROW(K$86),報告用!$AK$44:$AK$87,報告用!$E$44:$E$87,"",FALSE)=H88,"",_xlfn.XLOOKUP(ROW(K88)+1-ROW(K$86),報告用!$AK$44:$AK$87,報告用!$E$44:$E$87,"",FALSE))</f>
        <v/>
      </c>
      <c r="L88" s="111"/>
      <c r="M88" s="180"/>
      <c r="N88" s="119">
        <f>_xlfn.XLOOKUP(ROW(N88)+1-ROW(N$86),報告用!$AL$44:$AL$87,報告用!$F$44:$F$87,"",FALSE)</f>
        <v>25</v>
      </c>
      <c r="O88" s="123" t="str">
        <f>_xlfn.XLOOKUP(ROW(O88)+1-ROW(O$86),報告用!$AL$44:$AL$87,報告用!$G$44:$G$87,"",FALSE)</f>
        <v>千野　周恵</v>
      </c>
      <c r="P88" s="124" t="str">
        <f t="shared" si="17"/>
        <v>様</v>
      </c>
      <c r="Q88" s="120" t="str">
        <f>IF(_xlfn.XLOOKUP(ROW(Q88)+1-ROW(Q$86),報告用!$AL$44:$AL$87,報告用!$E$44:$E$87,"",FALSE)=N88,"",_xlfn.XLOOKUP(ROW(Q88)+1-ROW(Q$86),報告用!$AL$44:$AL$87,報告用!$E$44:$E$87,"",FALSE))</f>
        <v/>
      </c>
    </row>
    <row r="89" spans="1:17" ht="15.95" customHeight="1" thickBot="1">
      <c r="A89" s="187"/>
      <c r="B89" s="112" t="str">
        <f>_xlfn.XLOOKUP(ROW(B89)+1-ROW(B$73),報告用!$AC$44:$AC$87,報告用!$F$44:$F$87,"",FALSE)</f>
        <v/>
      </c>
      <c r="C89" s="131" t="str">
        <f>_xlfn.XLOOKUP(ROW(C89)+1-ROW(C$73),報告用!$AC$44:$AC$87,報告用!$G$44:$G$87,"",FALSE)</f>
        <v/>
      </c>
      <c r="D89" s="113" t="str">
        <f t="shared" si="13"/>
        <v/>
      </c>
      <c r="E89" s="114" t="str">
        <f>IF(_xlfn.XLOOKUP(ROW(E89)+1-ROW(E$73),報告用!$AC$44:$AC$87,報告用!$E$44:$E$87,"",FALSE)=B89,"",_xlfn.XLOOKUP(ROW(E89)+1-ROW(E$73),報告用!$AC$44:$AC$87,報告用!$E$44:$E$87,"",FALSE))</f>
        <v/>
      </c>
      <c r="F89" s="110"/>
      <c r="G89" s="180"/>
      <c r="H89" s="119">
        <f>_xlfn.XLOOKUP(ROW(H89)+1-ROW(H$86),報告用!$AK$44:$AK$87,報告用!$F$44:$F$87,"",FALSE)</f>
        <v>25</v>
      </c>
      <c r="I89" s="123" t="str">
        <f>_xlfn.XLOOKUP(ROW(I89)+1-ROW(I$86),報告用!$AK$44:$AK$87,報告用!$G$44:$G$87,"",FALSE)</f>
        <v>鈴木　賢浄</v>
      </c>
      <c r="J89" s="124" t="str">
        <f t="shared" si="16"/>
        <v>様</v>
      </c>
      <c r="K89" s="120" t="str">
        <f>IF(_xlfn.XLOOKUP(ROW(K89)+1-ROW(K$86),報告用!$AK$44:$AK$87,報告用!$E$44:$E$87,"",FALSE)=H89,"",_xlfn.XLOOKUP(ROW(K89)+1-ROW(K$86),報告用!$AK$44:$AK$87,報告用!$E$44:$E$87,"",FALSE))</f>
        <v/>
      </c>
      <c r="L89" s="111"/>
      <c r="M89" s="180"/>
      <c r="N89" s="119">
        <f>_xlfn.XLOOKUP(ROW(N89)+1-ROW(N$86),報告用!$AL$44:$AL$87,報告用!$F$44:$F$87,"",FALSE)</f>
        <v>25</v>
      </c>
      <c r="O89" s="123" t="str">
        <f>_xlfn.XLOOKUP(ROW(O89)+1-ROW(O$86),報告用!$AL$44:$AL$87,報告用!$G$44:$G$87,"",FALSE)</f>
        <v>鈴木　賢浄</v>
      </c>
      <c r="P89" s="124" t="str">
        <f t="shared" si="17"/>
        <v>様</v>
      </c>
      <c r="Q89" s="120" t="str">
        <f>IF(_xlfn.XLOOKUP(ROW(Q89)+1-ROW(Q$86),報告用!$AL$44:$AL$87,報告用!$E$44:$E$87,"",FALSE)=N89,"",_xlfn.XLOOKUP(ROW(Q89)+1-ROW(Q$86),報告用!$AL$44:$AL$87,報告用!$E$44:$E$87,"",FALSE))</f>
        <v/>
      </c>
    </row>
    <row r="90" spans="1:17" ht="15.95" customHeight="1" thickTop="1">
      <c r="A90" s="197" t="s">
        <v>37</v>
      </c>
      <c r="B90" s="119">
        <f>_xlfn.XLOOKUP(ROW(B90)+1-ROW(B$90),報告用!$AD$44:$AD$87,報告用!$F$44:$F$87,"",FALSE)</f>
        <v>25</v>
      </c>
      <c r="C90" s="123" t="str">
        <f>_xlfn.XLOOKUP(ROW(C90)+1-ROW(C$90),報告用!$AD$44:$AD$87,報告用!$G$44:$G$87,"",FALSE)</f>
        <v>千野　周恵</v>
      </c>
      <c r="D90" s="124" t="str">
        <f>IF(C90="","","様")</f>
        <v>様</v>
      </c>
      <c r="E90" s="120" t="str">
        <f>IF(_xlfn.XLOOKUP(ROW(E90)+1-ROW(E$90),報告用!$AD$44:$AD$87,報告用!$E$44:$E$87,"",FALSE)=B90,"",_xlfn.XLOOKUP(ROW(E90)+1-ROW(E$90),報告用!$AD$44:$AD$87,報告用!$E$44:$E$87,"",FALSE))</f>
        <v/>
      </c>
      <c r="F90" s="110"/>
      <c r="G90" s="180"/>
      <c r="H90" s="119">
        <f>_xlfn.XLOOKUP(ROW(H90)+1-ROW(H$86),報告用!$AK$44:$AK$87,報告用!$F$44:$F$87,"",FALSE)</f>
        <v>25</v>
      </c>
      <c r="I90" s="123" t="str">
        <f>_xlfn.XLOOKUP(ROW(I90)+1-ROW(I$86),報告用!$AK$44:$AK$87,報告用!$G$44:$G$87,"",FALSE)</f>
        <v>渡邉　和洋</v>
      </c>
      <c r="J90" s="124" t="str">
        <f t="shared" si="16"/>
        <v>様</v>
      </c>
      <c r="K90" s="120" t="str">
        <f>IF(_xlfn.XLOOKUP(ROW(K90)+1-ROW(K$86),報告用!$AK$44:$AK$87,報告用!$E$44:$E$87,"",FALSE)=H90,"",_xlfn.XLOOKUP(ROW(K90)+1-ROW(K$86),報告用!$AK$44:$AK$87,報告用!$E$44:$E$87,"",FALSE))</f>
        <v/>
      </c>
      <c r="L90" s="111"/>
      <c r="M90" s="180"/>
      <c r="N90" s="119">
        <f>_xlfn.XLOOKUP(ROW(N90)+1-ROW(N$86),報告用!$AL$44:$AL$87,報告用!$F$44:$F$87,"",FALSE)</f>
        <v>25</v>
      </c>
      <c r="O90" s="123" t="str">
        <f>_xlfn.XLOOKUP(ROW(O90)+1-ROW(O$86),報告用!$AL$44:$AL$87,報告用!$G$44:$G$87,"",FALSE)</f>
        <v>渡邉　和洋</v>
      </c>
      <c r="P90" s="124" t="str">
        <f t="shared" si="17"/>
        <v>様</v>
      </c>
      <c r="Q90" s="120" t="str">
        <f>IF(_xlfn.XLOOKUP(ROW(Q90)+1-ROW(Q$86),報告用!$AL$44:$AL$87,報告用!$E$44:$E$87,"",FALSE)=N90,"",_xlfn.XLOOKUP(ROW(Q90)+1-ROW(Q$86),報告用!$AL$44:$AL$87,報告用!$E$44:$E$87,"",FALSE))</f>
        <v/>
      </c>
    </row>
    <row r="91" spans="1:17" ht="15.95" customHeight="1">
      <c r="A91" s="180"/>
      <c r="B91" s="119">
        <f>_xlfn.XLOOKUP(ROW(B91)+1-ROW(B$90),報告用!$AD$44:$AD$87,報告用!$F$44:$F$87,"",FALSE)</f>
        <v>2</v>
      </c>
      <c r="C91" s="123" t="str">
        <f>_xlfn.XLOOKUP(ROW(C91)+1-ROW(C$90),報告用!$AD$44:$AD$87,報告用!$G$44:$G$87,"",FALSE)</f>
        <v>小林　登志子</v>
      </c>
      <c r="D91" s="124" t="str">
        <f t="shared" ref="D91:D97" si="18">IF(C91="","","様")</f>
        <v>様</v>
      </c>
      <c r="E91" s="120" t="str">
        <f>IF(_xlfn.XLOOKUP(ROW(E91)+1-ROW(E$90),報告用!$AD$44:$AD$87,報告用!$E$44:$E$87,"",FALSE)=B91,"",_xlfn.XLOOKUP(ROW(E91)+1-ROW(E$90),報告用!$AD$44:$AD$87,報告用!$E$44:$E$87,"",FALSE))</f>
        <v/>
      </c>
      <c r="F91" s="110"/>
      <c r="G91" s="180"/>
      <c r="H91" s="119">
        <f>_xlfn.XLOOKUP(ROW(H91)+1-ROW(H$86),報告用!$AK$44:$AK$87,報告用!$F$44:$F$87,"",FALSE)</f>
        <v>25</v>
      </c>
      <c r="I91" s="123" t="str">
        <f>_xlfn.XLOOKUP(ROW(I91)+1-ROW(I$86),報告用!$AK$44:$AK$87,報告用!$G$44:$G$87,"",FALSE)</f>
        <v>内藤　範治</v>
      </c>
      <c r="J91" s="124" t="str">
        <f t="shared" si="16"/>
        <v>様</v>
      </c>
      <c r="K91" s="120">
        <f>IF(_xlfn.XLOOKUP(ROW(K91)+1-ROW(K$86),報告用!$AK$44:$AK$87,報告用!$E$44:$E$87,"",FALSE)=H91,"",_xlfn.XLOOKUP(ROW(K91)+1-ROW(K$86),報告用!$AK$44:$AK$87,報告用!$E$44:$E$87,"",FALSE))</f>
        <v>2</v>
      </c>
      <c r="L91" s="111"/>
      <c r="M91" s="180"/>
      <c r="N91" s="119">
        <f>_xlfn.XLOOKUP(ROW(N91)+1-ROW(N$86),報告用!$AL$44:$AL$87,報告用!$F$44:$F$87,"",FALSE)</f>
        <v>25</v>
      </c>
      <c r="O91" s="123" t="str">
        <f>_xlfn.XLOOKUP(ROW(O91)+1-ROW(O$86),報告用!$AL$44:$AL$87,報告用!$G$44:$G$87,"",FALSE)</f>
        <v>内藤　範治</v>
      </c>
      <c r="P91" s="124" t="str">
        <f t="shared" si="17"/>
        <v>様</v>
      </c>
      <c r="Q91" s="120">
        <f>IF(_xlfn.XLOOKUP(ROW(Q91)+1-ROW(Q$86),報告用!$AL$44:$AL$87,報告用!$E$44:$E$87,"",FALSE)=N91,"",_xlfn.XLOOKUP(ROW(Q91)+1-ROW(Q$86),報告用!$AL$44:$AL$87,報告用!$E$44:$E$87,"",FALSE))</f>
        <v>2</v>
      </c>
    </row>
    <row r="92" spans="1:17" ht="15.95" customHeight="1">
      <c r="A92" s="180"/>
      <c r="B92" s="119" t="str">
        <f>_xlfn.XLOOKUP(ROW(B92)+1-ROW(B$90),報告用!$AD$44:$AD$87,報告用!$F$44:$F$87,"",FALSE)</f>
        <v/>
      </c>
      <c r="C92" s="123" t="str">
        <f>_xlfn.XLOOKUP(ROW(C92)+1-ROW(C$90),報告用!$AD$44:$AD$87,報告用!$G$44:$G$87,"",FALSE)</f>
        <v/>
      </c>
      <c r="D92" s="124" t="str">
        <f t="shared" si="18"/>
        <v/>
      </c>
      <c r="E92" s="120" t="str">
        <f>IF(_xlfn.XLOOKUP(ROW(E92)+1-ROW(E$90),報告用!$AD$44:$AD$87,報告用!$E$44:$E$87,"",FALSE)=B92,"",_xlfn.XLOOKUP(ROW(E92)+1-ROW(E$90),報告用!$AD$44:$AD$87,報告用!$E$44:$E$87,"",FALSE))</f>
        <v/>
      </c>
      <c r="F92" s="110"/>
      <c r="G92" s="180"/>
      <c r="H92" s="119">
        <f>_xlfn.XLOOKUP(ROW(H92)+1-ROW(H$86),報告用!$AK$44:$AK$87,報告用!$F$44:$F$87,"",FALSE)</f>
        <v>1</v>
      </c>
      <c r="I92" s="123" t="str">
        <f>_xlfn.XLOOKUP(ROW(I92)+1-ROW(I$86),報告用!$AK$44:$AK$87,報告用!$G$44:$G$87,"",FALSE)</f>
        <v>笹本　定子</v>
      </c>
      <c r="J92" s="124" t="str">
        <f t="shared" si="16"/>
        <v>様</v>
      </c>
      <c r="K92" s="120" t="str">
        <f>IF(_xlfn.XLOOKUP(ROW(K92)+1-ROW(K$86),報告用!$AK$44:$AK$87,報告用!$E$44:$E$87,"",FALSE)=H92,"",_xlfn.XLOOKUP(ROW(K92)+1-ROW(K$86),報告用!$AK$44:$AK$87,報告用!$E$44:$E$87,"",FALSE))</f>
        <v/>
      </c>
      <c r="L92" s="111"/>
      <c r="M92" s="180"/>
      <c r="N92" s="119">
        <f>_xlfn.XLOOKUP(ROW(N92)+1-ROW(N$86),報告用!$AL$44:$AL$87,報告用!$F$44:$F$87,"",FALSE)</f>
        <v>1</v>
      </c>
      <c r="O92" s="123" t="str">
        <f>_xlfn.XLOOKUP(ROW(O92)+1-ROW(O$86),報告用!$AL$44:$AL$87,報告用!$G$44:$G$87,"",FALSE)</f>
        <v>太田　恵須子</v>
      </c>
      <c r="P92" s="124" t="str">
        <f t="shared" si="17"/>
        <v>様</v>
      </c>
      <c r="Q92" s="120" t="str">
        <f>IF(_xlfn.XLOOKUP(ROW(Q92)+1-ROW(Q$86),報告用!$AL$44:$AL$87,報告用!$E$44:$E$87,"",FALSE)=N92,"",_xlfn.XLOOKUP(ROW(Q92)+1-ROW(Q$86),報告用!$AL$44:$AL$87,報告用!$E$44:$E$87,"",FALSE))</f>
        <v/>
      </c>
    </row>
    <row r="93" spans="1:17" ht="15.95" customHeight="1">
      <c r="A93" s="180"/>
      <c r="B93" s="119" t="str">
        <f>_xlfn.XLOOKUP(ROW(B93)+1-ROW(B$90),報告用!$AD$44:$AD$87,報告用!$F$44:$F$87,"",FALSE)</f>
        <v/>
      </c>
      <c r="C93" s="123" t="str">
        <f>_xlfn.XLOOKUP(ROW(C93)+1-ROW(C$90),報告用!$AD$44:$AD$87,報告用!$G$44:$G$87,"",FALSE)</f>
        <v/>
      </c>
      <c r="D93" s="124" t="str">
        <f t="shared" si="18"/>
        <v/>
      </c>
      <c r="E93" s="120" t="str">
        <f>IF(_xlfn.XLOOKUP(ROW(E93)+1-ROW(E$90),報告用!$AD$44:$AD$87,報告用!$E$44:$E$87,"",FALSE)=B93,"",_xlfn.XLOOKUP(ROW(E93)+1-ROW(E$90),報告用!$AD$44:$AD$87,報告用!$E$44:$E$87,"",FALSE))</f>
        <v/>
      </c>
      <c r="F93" s="110"/>
      <c r="G93" s="180"/>
      <c r="H93" s="119">
        <f>_xlfn.XLOOKUP(ROW(H93)+1-ROW(H$86),報告用!$AK$44:$AK$87,報告用!$F$44:$F$87,"",FALSE)</f>
        <v>3</v>
      </c>
      <c r="I93" s="123" t="str">
        <f>_xlfn.XLOOKUP(ROW(I93)+1-ROW(I$86),報告用!$AK$44:$AK$87,報告用!$G$44:$G$87,"",FALSE)</f>
        <v>大森　俊子</v>
      </c>
      <c r="J93" s="124" t="str">
        <f t="shared" si="16"/>
        <v>様</v>
      </c>
      <c r="K93" s="120" t="str">
        <f>IF(_xlfn.XLOOKUP(ROW(K93)+1-ROW(K$86),報告用!$AK$44:$AK$87,報告用!$E$44:$E$87,"",FALSE)=H93,"",_xlfn.XLOOKUP(ROW(K93)+1-ROW(K$86),報告用!$AK$44:$AK$87,報告用!$E$44:$E$87,"",FALSE))</f>
        <v/>
      </c>
      <c r="L93" s="111"/>
      <c r="M93" s="180"/>
      <c r="N93" s="119">
        <f>_xlfn.XLOOKUP(ROW(N93)+1-ROW(N$86),報告用!$AL$44:$AL$87,報告用!$F$44:$F$87,"",FALSE)</f>
        <v>1</v>
      </c>
      <c r="O93" s="123" t="str">
        <f>_xlfn.XLOOKUP(ROW(O93)+1-ROW(O$86),報告用!$AL$44:$AL$87,報告用!$G$44:$G$87,"",FALSE)</f>
        <v>笹本　定子</v>
      </c>
      <c r="P93" s="124" t="str">
        <f t="shared" si="17"/>
        <v>様</v>
      </c>
      <c r="Q93" s="120" t="str">
        <f>IF(_xlfn.XLOOKUP(ROW(Q93)+1-ROW(Q$86),報告用!$AL$44:$AL$87,報告用!$E$44:$E$87,"",FALSE)=N93,"",_xlfn.XLOOKUP(ROW(Q93)+1-ROW(Q$86),報告用!$AL$44:$AL$87,報告用!$E$44:$E$87,"",FALSE))</f>
        <v/>
      </c>
    </row>
    <row r="94" spans="1:17" ht="15.95" customHeight="1">
      <c r="A94" s="180"/>
      <c r="B94" s="119" t="str">
        <f>_xlfn.XLOOKUP(ROW(B94)+1-ROW(B$90),報告用!$AD$44:$AD$87,報告用!$F$44:$F$87,"",FALSE)</f>
        <v/>
      </c>
      <c r="C94" s="123" t="str">
        <f>_xlfn.XLOOKUP(ROW(C94)+1-ROW(C$90),報告用!$AD$44:$AD$87,報告用!$G$44:$G$87,"",FALSE)</f>
        <v/>
      </c>
      <c r="D94" s="124" t="str">
        <f t="shared" si="18"/>
        <v/>
      </c>
      <c r="E94" s="120" t="str">
        <f>IF(_xlfn.XLOOKUP(ROW(E94)+1-ROW(E$90),報告用!$AD$44:$AD$87,報告用!$E$44:$E$87,"",FALSE)=B94,"",_xlfn.XLOOKUP(ROW(E94)+1-ROW(E$90),報告用!$AD$44:$AD$87,報告用!$E$44:$E$87,"",FALSE))</f>
        <v/>
      </c>
      <c r="F94" s="110"/>
      <c r="G94" s="180"/>
      <c r="H94" s="119">
        <f>_xlfn.XLOOKUP(ROW(H94)+1-ROW(H$86),報告用!$AK$44:$AK$87,報告用!$F$44:$F$87,"",FALSE)</f>
        <v>5</v>
      </c>
      <c r="I94" s="123" t="str">
        <f>_xlfn.XLOOKUP(ROW(I94)+1-ROW(I$86),報告用!$AK$44:$AK$87,報告用!$G$44:$G$87,"",FALSE)</f>
        <v>高田 保英</v>
      </c>
      <c r="J94" s="124" t="str">
        <f t="shared" si="16"/>
        <v>様</v>
      </c>
      <c r="K94" s="120">
        <f>IF(_xlfn.XLOOKUP(ROW(K94)+1-ROW(K$86),報告用!$AK$44:$AK$87,報告用!$E$44:$E$87,"",FALSE)=H94,"",_xlfn.XLOOKUP(ROW(K94)+1-ROW(K$86),報告用!$AK$44:$AK$87,報告用!$E$44:$E$87,"",FALSE))</f>
        <v>25</v>
      </c>
      <c r="L94" s="111"/>
      <c r="M94" s="180"/>
      <c r="N94" s="119">
        <f>_xlfn.XLOOKUP(ROW(N94)+1-ROW(N$86),報告用!$AL$44:$AL$87,報告用!$F$44:$F$87,"",FALSE)</f>
        <v>5</v>
      </c>
      <c r="O94" s="123" t="str">
        <f>_xlfn.XLOOKUP(ROW(O94)+1-ROW(O$86),報告用!$AL$44:$AL$87,報告用!$G$44:$G$87,"",FALSE)</f>
        <v>高田 保英</v>
      </c>
      <c r="P94" s="124" t="str">
        <f t="shared" si="17"/>
        <v>様</v>
      </c>
      <c r="Q94" s="120">
        <f>IF(_xlfn.XLOOKUP(ROW(Q94)+1-ROW(Q$86),報告用!$AL$44:$AL$87,報告用!$E$44:$E$87,"",FALSE)=N94,"",_xlfn.XLOOKUP(ROW(Q94)+1-ROW(Q$86),報告用!$AL$44:$AL$87,報告用!$E$44:$E$87,"",FALSE))</f>
        <v>25</v>
      </c>
    </row>
    <row r="95" spans="1:17" ht="15.95" customHeight="1">
      <c r="A95" s="180"/>
      <c r="B95" s="119" t="str">
        <f>_xlfn.XLOOKUP(ROW(B95)+1-ROW(B$90),報告用!$AD$44:$AD$87,報告用!$F$44:$F$87,"",FALSE)</f>
        <v/>
      </c>
      <c r="C95" s="123" t="str">
        <f>_xlfn.XLOOKUP(ROW(C95)+1-ROW(C$90),報告用!$AD$44:$AD$87,報告用!$G$44:$G$87,"",FALSE)</f>
        <v/>
      </c>
      <c r="D95" s="124" t="str">
        <f t="shared" si="18"/>
        <v/>
      </c>
      <c r="E95" s="120" t="str">
        <f>IF(_xlfn.XLOOKUP(ROW(E95)+1-ROW(E$90),報告用!$AD$44:$AD$87,報告用!$E$44:$E$87,"",FALSE)=B95,"",_xlfn.XLOOKUP(ROW(E95)+1-ROW(E$90),報告用!$AD$44:$AD$87,報告用!$E$44:$E$87,"",FALSE))</f>
        <v/>
      </c>
      <c r="F95" s="110"/>
      <c r="G95" s="180"/>
      <c r="H95" s="119">
        <f>_xlfn.XLOOKUP(ROW(H95)+1-ROW(H$86),報告用!$AK$44:$AK$87,報告用!$F$44:$F$87,"",FALSE)</f>
        <v>6</v>
      </c>
      <c r="I95" s="123" t="str">
        <f>_xlfn.XLOOKUP(ROW(I95)+1-ROW(I$86),報告用!$AK$44:$AK$87,報告用!$G$44:$G$87,"",FALSE)</f>
        <v>フジイロザスミコ</v>
      </c>
      <c r="J95" s="124" t="str">
        <f t="shared" si="16"/>
        <v>様</v>
      </c>
      <c r="K95" s="120" t="str">
        <f>IF(_xlfn.XLOOKUP(ROW(K95)+1-ROW(K$86),報告用!$AK$44:$AK$87,報告用!$E$44:$E$87,"",FALSE)=H95,"",_xlfn.XLOOKUP(ROW(K95)+1-ROW(K$86),報告用!$AK$44:$AK$87,報告用!$E$44:$E$87,"",FALSE))</f>
        <v/>
      </c>
      <c r="L95" s="111"/>
      <c r="M95" s="180"/>
      <c r="N95" s="119">
        <f>_xlfn.XLOOKUP(ROW(N95)+1-ROW(N$86),報告用!$AL$44:$AL$87,報告用!$F$44:$F$87,"",FALSE)</f>
        <v>6</v>
      </c>
      <c r="O95" s="123" t="str">
        <f>_xlfn.XLOOKUP(ROW(O95)+1-ROW(O$86),報告用!$AL$44:$AL$87,報告用!$G$44:$G$87,"",FALSE)</f>
        <v>フジイロザスミコ</v>
      </c>
      <c r="P95" s="124" t="str">
        <f t="shared" si="17"/>
        <v>様</v>
      </c>
      <c r="Q95" s="120" t="str">
        <f>IF(_xlfn.XLOOKUP(ROW(Q95)+1-ROW(Q$86),報告用!$AL$44:$AL$87,報告用!$E$44:$E$87,"",FALSE)=N95,"",_xlfn.XLOOKUP(ROW(Q95)+1-ROW(Q$86),報告用!$AL$44:$AL$87,報告用!$E$44:$E$87,"",FALSE))</f>
        <v/>
      </c>
    </row>
    <row r="96" spans="1:17" ht="15.95" customHeight="1">
      <c r="A96" s="180"/>
      <c r="B96" s="119" t="str">
        <f>_xlfn.XLOOKUP(ROW(B96)+1-ROW(B$90),報告用!$AD$44:$AD$87,報告用!$F$44:$F$87,"",FALSE)</f>
        <v/>
      </c>
      <c r="C96" s="123" t="str">
        <f>_xlfn.XLOOKUP(ROW(C96)+1-ROW(C$90),報告用!$AD$44:$AD$87,報告用!$G$44:$G$87,"",FALSE)</f>
        <v/>
      </c>
      <c r="D96" s="124" t="str">
        <f t="shared" si="18"/>
        <v/>
      </c>
      <c r="E96" s="120" t="str">
        <f>IF(_xlfn.XLOOKUP(ROW(E96)+1-ROW(E$90),報告用!$AD$44:$AD$87,報告用!$E$44:$E$87,"",FALSE)=B96,"",_xlfn.XLOOKUP(ROW(E96)+1-ROW(E$90),報告用!$AD$44:$AD$87,報告用!$E$44:$E$87,"",FALSE))</f>
        <v/>
      </c>
      <c r="F96" s="110"/>
      <c r="G96" s="180"/>
      <c r="H96" s="119">
        <f>_xlfn.XLOOKUP(ROW(H96)+1-ROW(H$86),報告用!$AK$44:$AK$87,報告用!$F$44:$F$87,"",FALSE)</f>
        <v>6</v>
      </c>
      <c r="I96" s="123" t="str">
        <f>_xlfn.XLOOKUP(ROW(I96)+1-ROW(I$86),報告用!$AK$44:$AK$87,報告用!$G$44:$G$87,"",FALSE)</f>
        <v>一瀨　好恵</v>
      </c>
      <c r="J96" s="124" t="str">
        <f t="shared" si="16"/>
        <v>様</v>
      </c>
      <c r="K96" s="120">
        <f>IF(_xlfn.XLOOKUP(ROW(K96)+1-ROW(K$86),報告用!$AK$44:$AK$87,報告用!$E$44:$E$87,"",FALSE)=H96,"",_xlfn.XLOOKUP(ROW(K96)+1-ROW(K$86),報告用!$AK$44:$AK$87,報告用!$E$44:$E$87,"",FALSE))</f>
        <v>5</v>
      </c>
      <c r="L96" s="111"/>
      <c r="M96" s="180"/>
      <c r="N96" s="119">
        <f>_xlfn.XLOOKUP(ROW(N96)+1-ROW(N$86),報告用!$AL$44:$AL$87,報告用!$F$44:$F$87,"",FALSE)</f>
        <v>6</v>
      </c>
      <c r="O96" s="123" t="str">
        <f>_xlfn.XLOOKUP(ROW(O96)+1-ROW(O$86),報告用!$AL$44:$AL$87,報告用!$G$44:$G$87,"",FALSE)</f>
        <v>一瀨　好恵</v>
      </c>
      <c r="P96" s="124" t="str">
        <f t="shared" si="17"/>
        <v>様</v>
      </c>
      <c r="Q96" s="120">
        <f>IF(_xlfn.XLOOKUP(ROW(Q96)+1-ROW(Q$86),報告用!$AL$44:$AL$87,報告用!$E$44:$E$87,"",FALSE)=N96,"",_xlfn.XLOOKUP(ROW(Q96)+1-ROW(Q$86),報告用!$AL$44:$AL$87,報告用!$E$44:$E$87,"",FALSE))</f>
        <v>5</v>
      </c>
    </row>
    <row r="97" spans="1:17" ht="15.95" customHeight="1" thickBot="1">
      <c r="A97" s="187"/>
      <c r="B97" s="112" t="str">
        <f>_xlfn.XLOOKUP(ROW(B97)+1-ROW(B$90),報告用!$AD$44:$AD$87,報告用!$F$44:$F$87,"",FALSE)</f>
        <v/>
      </c>
      <c r="C97" s="131" t="str">
        <f>_xlfn.XLOOKUP(ROW(C97)+1-ROW(C$90),報告用!$AD$44:$AD$87,報告用!$G$44:$G$87,"",FALSE)</f>
        <v/>
      </c>
      <c r="D97" s="113" t="str">
        <f t="shared" si="18"/>
        <v/>
      </c>
      <c r="E97" s="114" t="str">
        <f>IF(_xlfn.XLOOKUP(ROW(E97)+1-ROW(E$90),報告用!$AD$44:$AD$87,報告用!$E$44:$E$87,"",FALSE)=B97,"",_xlfn.XLOOKUP(ROW(E97)+1-ROW(E$90),報告用!$AD$44:$AD$87,報告用!$E$44:$E$87,"",FALSE))</f>
        <v/>
      </c>
      <c r="F97" s="110"/>
      <c r="G97" s="180"/>
      <c r="H97" s="119">
        <f>_xlfn.XLOOKUP(ROW(H97)+1-ROW(H$86),報告用!$AK$44:$AK$87,報告用!$F$44:$F$87,"",FALSE)</f>
        <v>7</v>
      </c>
      <c r="I97" s="123" t="str">
        <f>_xlfn.XLOOKUP(ROW(I97)+1-ROW(I$86),報告用!$AK$44:$AK$87,報告用!$G$44:$G$87,"",FALSE)</f>
        <v>佐藤　光正</v>
      </c>
      <c r="J97" s="124" t="str">
        <f t="shared" si="16"/>
        <v>様</v>
      </c>
      <c r="K97" s="120" t="str">
        <f>IF(_xlfn.XLOOKUP(ROW(K97)+1-ROW(K$86),報告用!$AK$44:$AK$87,報告用!$E$44:$E$87,"",FALSE)=H97,"",_xlfn.XLOOKUP(ROW(K97)+1-ROW(K$86),報告用!$AK$44:$AK$87,報告用!$E$44:$E$87,"",FALSE))</f>
        <v/>
      </c>
      <c r="L97" s="111"/>
      <c r="M97" s="180"/>
      <c r="N97" s="119">
        <f>_xlfn.XLOOKUP(ROW(N97)+1-ROW(N$86),報告用!$AL$44:$AL$87,報告用!$F$44:$F$87,"",FALSE)</f>
        <v>7</v>
      </c>
      <c r="O97" s="123" t="str">
        <f>_xlfn.XLOOKUP(ROW(O97)+1-ROW(O$86),報告用!$AL$44:$AL$87,報告用!$G$44:$G$87,"",FALSE)</f>
        <v>佐藤　光正</v>
      </c>
      <c r="P97" s="124" t="str">
        <f t="shared" si="17"/>
        <v>様</v>
      </c>
      <c r="Q97" s="120" t="str">
        <f>IF(_xlfn.XLOOKUP(ROW(Q97)+1-ROW(Q$86),報告用!$AL$44:$AL$87,報告用!$E$44:$E$87,"",FALSE)=N97,"",_xlfn.XLOOKUP(ROW(Q97)+1-ROW(Q$86),報告用!$AL$44:$AL$87,報告用!$E$44:$E$87,"",FALSE))</f>
        <v/>
      </c>
    </row>
    <row r="98" spans="1:17" ht="15.95" customHeight="1" thickTop="1">
      <c r="A98" s="197" t="s">
        <v>94</v>
      </c>
      <c r="B98" s="119" t="str">
        <f>_xlfn.XLOOKUP(ROW(B98)+1-ROW(B$98),報告用!$AE$44:$AE$87,報告用!$F$44:$F$87,"",FALSE)</f>
        <v/>
      </c>
      <c r="C98" s="123" t="str">
        <f>_xlfn.XLOOKUP(ROW(C98)+1-ROW(C$98),報告用!$AE$44:$AE$87,報告用!$G$44:$G$87,"",FALSE)</f>
        <v/>
      </c>
      <c r="D98" s="124" t="str">
        <f>IF(C98="","","様")</f>
        <v/>
      </c>
      <c r="E98" s="120" t="str">
        <f>IF(_xlfn.XLOOKUP(ROW(E98)+1-ROW(E$98),報告用!$AE$44:$AE$87,報告用!$E$44:$E$87,"",FALSE)=B98,"",_xlfn.XLOOKUP(ROW(E98)+1-ROW(E$98),報告用!$AE$44:$AE$87,報告用!$E$44:$E$87,"",FALSE))</f>
        <v/>
      </c>
      <c r="F98" s="110"/>
      <c r="G98" s="180"/>
      <c r="H98" s="119">
        <f>_xlfn.XLOOKUP(ROW(H98)+1-ROW(H$86),報告用!$AK$44:$AK$87,報告用!$F$44:$F$87,"",FALSE)</f>
        <v>7</v>
      </c>
      <c r="I98" s="123" t="str">
        <f>_xlfn.XLOOKUP(ROW(I98)+1-ROW(I$86),報告用!$AK$44:$AK$87,報告用!$G$44:$G$87,"",FALSE)</f>
        <v>水上　哲彌</v>
      </c>
      <c r="J98" s="124" t="str">
        <f t="shared" si="16"/>
        <v>様</v>
      </c>
      <c r="K98" s="120" t="str">
        <f>IF(_xlfn.XLOOKUP(ROW(K98)+1-ROW(K$86),報告用!$AK$44:$AK$87,報告用!$E$44:$E$87,"",FALSE)=H98,"",_xlfn.XLOOKUP(ROW(K98)+1-ROW(K$86),報告用!$AK$44:$AK$87,報告用!$E$44:$E$87,"",FALSE))</f>
        <v/>
      </c>
      <c r="L98" s="111"/>
      <c r="M98" s="180"/>
      <c r="N98" s="119">
        <f>_xlfn.XLOOKUP(ROW(N98)+1-ROW(N$86),報告用!$AL$44:$AL$87,報告用!$F$44:$F$87,"",FALSE)</f>
        <v>7</v>
      </c>
      <c r="O98" s="123" t="str">
        <f>_xlfn.XLOOKUP(ROW(O98)+1-ROW(O$86),報告用!$AL$44:$AL$87,報告用!$G$44:$G$87,"",FALSE)</f>
        <v>水上　哲彌</v>
      </c>
      <c r="P98" s="124" t="str">
        <f t="shared" si="17"/>
        <v>様</v>
      </c>
      <c r="Q98" s="120" t="str">
        <f>IF(_xlfn.XLOOKUP(ROW(Q98)+1-ROW(Q$86),報告用!$AL$44:$AL$87,報告用!$E$44:$E$87,"",FALSE)=N98,"",_xlfn.XLOOKUP(ROW(Q98)+1-ROW(Q$86),報告用!$AL$44:$AL$87,報告用!$E$44:$E$87,"",FALSE))</f>
        <v/>
      </c>
    </row>
    <row r="99" spans="1:17" ht="15.95" customHeight="1">
      <c r="A99" s="197"/>
      <c r="B99" s="119" t="str">
        <f>_xlfn.XLOOKUP(ROW(B99)+1-ROW(B$98),報告用!$AE$44:$AE$87,報告用!$F$44:$F$87,"",FALSE)</f>
        <v/>
      </c>
      <c r="C99" s="123" t="str">
        <f>_xlfn.XLOOKUP(ROW(C99)+1-ROW(C$98),報告用!$AE$44:$AE$87,報告用!$G$44:$G$87,"",FALSE)</f>
        <v/>
      </c>
      <c r="D99" s="124" t="str">
        <f t="shared" ref="D99:D102" si="19">IF(C99="","","様")</f>
        <v/>
      </c>
      <c r="E99" s="120" t="str">
        <f>IF(_xlfn.XLOOKUP(ROW(E99)+1-ROW(E$98),報告用!$AE$44:$AE$87,報告用!$E$44:$E$87,"",FALSE)=B99,"",_xlfn.XLOOKUP(ROW(E99)+1-ROW(E$98),報告用!$AE$44:$AE$87,報告用!$E$44:$E$87,"",FALSE))</f>
        <v/>
      </c>
      <c r="F99" s="110"/>
      <c r="G99" s="180"/>
      <c r="H99" s="119">
        <f>_xlfn.XLOOKUP(ROW(H99)+1-ROW(H$86),報告用!$AK$44:$AK$87,報告用!$F$44:$F$87,"",FALSE)</f>
        <v>12</v>
      </c>
      <c r="I99" s="123" t="str">
        <f>_xlfn.XLOOKUP(ROW(I99)+1-ROW(I$86),報告用!$AK$44:$AK$87,報告用!$G$44:$G$87,"",FALSE)</f>
        <v>鴨下　恵美子</v>
      </c>
      <c r="J99" s="124" t="str">
        <f t="shared" si="16"/>
        <v>様</v>
      </c>
      <c r="K99" s="120">
        <f>IF(_xlfn.XLOOKUP(ROW(K99)+1-ROW(K$86),報告用!$AK$44:$AK$87,報告用!$E$44:$E$87,"",FALSE)=H99,"",_xlfn.XLOOKUP(ROW(K99)+1-ROW(K$86),報告用!$AK$44:$AK$87,報告用!$E$44:$E$87,"",FALSE))</f>
        <v>11</v>
      </c>
      <c r="L99" s="111"/>
      <c r="M99" s="180"/>
      <c r="N99" s="119">
        <f>_xlfn.XLOOKUP(ROW(N99)+1-ROW(N$86),報告用!$AL$44:$AL$87,報告用!$F$44:$F$87,"",FALSE)</f>
        <v>12</v>
      </c>
      <c r="O99" s="123" t="str">
        <f>_xlfn.XLOOKUP(ROW(O99)+1-ROW(O$86),報告用!$AL$44:$AL$87,報告用!$G$44:$G$87,"",FALSE)</f>
        <v>鴨下　恵美子</v>
      </c>
      <c r="P99" s="124" t="str">
        <f t="shared" si="17"/>
        <v>様</v>
      </c>
      <c r="Q99" s="120">
        <f>IF(_xlfn.XLOOKUP(ROW(Q99)+1-ROW(Q$86),報告用!$AL$44:$AL$87,報告用!$E$44:$E$87,"",FALSE)=N99,"",_xlfn.XLOOKUP(ROW(Q99)+1-ROW(Q$86),報告用!$AL$44:$AL$87,報告用!$E$44:$E$87,"",FALSE))</f>
        <v>11</v>
      </c>
    </row>
    <row r="100" spans="1:17" ht="15.95" customHeight="1">
      <c r="A100" s="197"/>
      <c r="B100" s="119" t="str">
        <f>_xlfn.XLOOKUP(ROW(B100)+1-ROW(B$98),報告用!$AE$44:$AE$87,報告用!$F$44:$F$87,"",FALSE)</f>
        <v/>
      </c>
      <c r="C100" s="123" t="str">
        <f>_xlfn.XLOOKUP(ROW(C100)+1-ROW(C$98),報告用!$AE$44:$AE$87,報告用!$G$44:$G$87,"",FALSE)</f>
        <v/>
      </c>
      <c r="D100" s="124" t="str">
        <f t="shared" si="19"/>
        <v/>
      </c>
      <c r="E100" s="120" t="str">
        <f>IF(_xlfn.XLOOKUP(ROW(E100)+1-ROW(E$98),報告用!$AE$44:$AE$87,報告用!$E$44:$E$87,"",FALSE)=B100,"",_xlfn.XLOOKUP(ROW(E100)+1-ROW(E$98),報告用!$AE$44:$AE$87,報告用!$E$44:$E$87,"",FALSE))</f>
        <v/>
      </c>
      <c r="F100" s="110"/>
      <c r="G100" s="180"/>
      <c r="H100" s="119">
        <f>_xlfn.XLOOKUP(ROW(H100)+1-ROW(H$86),報告用!$AK$44:$AK$87,報告用!$F$44:$F$87,"",FALSE)</f>
        <v>12</v>
      </c>
      <c r="I100" s="123" t="str">
        <f>_xlfn.XLOOKUP(ROW(I100)+1-ROW(I$86),報告用!$AK$44:$AK$87,報告用!$G$44:$G$87,"",FALSE)</f>
        <v>深水　洋子</v>
      </c>
      <c r="J100" s="124" t="str">
        <f t="shared" si="16"/>
        <v>様</v>
      </c>
      <c r="K100" s="120" t="str">
        <f>IF(_xlfn.XLOOKUP(ROW(K100)+1-ROW(K$86),報告用!$AK$44:$AK$87,報告用!$E$44:$E$87,"",FALSE)=H100,"",_xlfn.XLOOKUP(ROW(K100)+1-ROW(K$86),報告用!$AK$44:$AK$87,報告用!$E$44:$E$87,"",FALSE))</f>
        <v/>
      </c>
      <c r="L100" s="111"/>
      <c r="M100" s="180"/>
      <c r="N100" s="119">
        <f>_xlfn.XLOOKUP(ROW(N100)+1-ROW(N$86),報告用!$AL$44:$AL$87,報告用!$F$44:$F$87,"",FALSE)</f>
        <v>12</v>
      </c>
      <c r="O100" s="123" t="str">
        <f>_xlfn.XLOOKUP(ROW(O100)+1-ROW(O$86),報告用!$AL$44:$AL$87,報告用!$G$44:$G$87,"",FALSE)</f>
        <v>深水　洋子</v>
      </c>
      <c r="P100" s="124" t="str">
        <f t="shared" si="17"/>
        <v>様</v>
      </c>
      <c r="Q100" s="120" t="str">
        <f>IF(_xlfn.XLOOKUP(ROW(Q100)+1-ROW(Q$86),報告用!$AL$44:$AL$87,報告用!$E$44:$E$87,"",FALSE)=N100,"",_xlfn.XLOOKUP(ROW(Q100)+1-ROW(Q$86),報告用!$AL$44:$AL$87,報告用!$E$44:$E$87,"",FALSE))</f>
        <v/>
      </c>
    </row>
    <row r="101" spans="1:17" ht="15.95" customHeight="1">
      <c r="A101" s="180"/>
      <c r="B101" s="119" t="str">
        <f>_xlfn.XLOOKUP(ROW(B101)+1-ROW(B$98),報告用!$AE$44:$AE$87,報告用!$F$44:$F$87,"",FALSE)</f>
        <v/>
      </c>
      <c r="C101" s="123" t="str">
        <f>_xlfn.XLOOKUP(ROW(C101)+1-ROW(C$98),報告用!$AE$44:$AE$87,報告用!$G$44:$G$87,"",FALSE)</f>
        <v/>
      </c>
      <c r="D101" s="124" t="str">
        <f t="shared" si="19"/>
        <v/>
      </c>
      <c r="E101" s="120" t="str">
        <f>IF(_xlfn.XLOOKUP(ROW(E101)+1-ROW(E$98),報告用!$AE$44:$AE$87,報告用!$E$44:$E$87,"",FALSE)=B101,"",_xlfn.XLOOKUP(ROW(E101)+1-ROW(E$98),報告用!$AE$44:$AE$87,報告用!$E$44:$E$87,"",FALSE))</f>
        <v/>
      </c>
      <c r="F101" s="110"/>
      <c r="G101" s="180"/>
      <c r="H101" s="119">
        <f>_xlfn.XLOOKUP(ROW(H101)+1-ROW(H$86),報告用!$AK$44:$AK$87,報告用!$F$44:$F$87,"",FALSE)</f>
        <v>12</v>
      </c>
      <c r="I101" s="123" t="str">
        <f>_xlfn.XLOOKUP(ROW(I101)+1-ROW(I$86),報告用!$AK$44:$AK$87,報告用!$G$44:$G$87,"",FALSE)</f>
        <v>末木　志ん</v>
      </c>
      <c r="J101" s="124" t="str">
        <f t="shared" si="16"/>
        <v>様</v>
      </c>
      <c r="K101" s="120">
        <f>IF(_xlfn.XLOOKUP(ROW(K101)+1-ROW(K$86),報告用!$AK$44:$AK$87,報告用!$E$44:$E$87,"",FALSE)=H101,"",_xlfn.XLOOKUP(ROW(K101)+1-ROW(K$86),報告用!$AK$44:$AK$87,報告用!$E$44:$E$87,"",FALSE))</f>
        <v>22</v>
      </c>
      <c r="L101" s="111"/>
      <c r="M101" s="180"/>
      <c r="N101" s="119">
        <f>_xlfn.XLOOKUP(ROW(N101)+1-ROW(N$86),報告用!$AL$44:$AL$87,報告用!$F$44:$F$87,"",FALSE)</f>
        <v>12</v>
      </c>
      <c r="O101" s="123" t="str">
        <f>_xlfn.XLOOKUP(ROW(O101)+1-ROW(O$86),報告用!$AL$44:$AL$87,報告用!$G$44:$G$87,"",FALSE)</f>
        <v>馬塲 日出子</v>
      </c>
      <c r="P101" s="124" t="str">
        <f t="shared" si="17"/>
        <v>様</v>
      </c>
      <c r="Q101" s="120" t="str">
        <f>IF(_xlfn.XLOOKUP(ROW(Q101)+1-ROW(Q$86),報告用!$AL$44:$AL$87,報告用!$E$44:$E$87,"",FALSE)=N101,"",_xlfn.XLOOKUP(ROW(Q101)+1-ROW(Q$86),報告用!$AL$44:$AL$87,報告用!$E$44:$E$87,"",FALSE))</f>
        <v/>
      </c>
    </row>
    <row r="102" spans="1:17" ht="15.95" customHeight="1" thickBot="1">
      <c r="A102" s="181"/>
      <c r="B102" s="132" t="str">
        <f>_xlfn.XLOOKUP(ROW(B102)+1-ROW(B$98),報告用!$AE$44:$AE$87,報告用!$F$44:$F$87,"",FALSE)</f>
        <v/>
      </c>
      <c r="C102" s="133" t="str">
        <f>_xlfn.XLOOKUP(ROW(C102)+1-ROW(C$98),報告用!$AE$44:$AE$87,報告用!$G$44:$G$87,"",FALSE)</f>
        <v/>
      </c>
      <c r="D102" s="134" t="str">
        <f t="shared" si="19"/>
        <v/>
      </c>
      <c r="E102" s="135" t="str">
        <f>IF(_xlfn.XLOOKUP(ROW(E102)+1-ROW(E$98),報告用!$AE$44:$AE$87,報告用!$E$44:$E$87,"",FALSE)=B102,"",_xlfn.XLOOKUP(ROW(E102)+1-ROW(E$98),報告用!$AE$44:$AE$87,報告用!$E$44:$E$87,"",FALSE))</f>
        <v/>
      </c>
      <c r="F102" s="110"/>
      <c r="G102" s="181"/>
      <c r="H102" s="132" t="str">
        <f>_xlfn.XLOOKUP(ROW(H102)+1-ROW(H$86),報告用!$AK$44:$AK$87,報告用!$F$44:$F$87,"",FALSE)</f>
        <v/>
      </c>
      <c r="I102" s="133" t="str">
        <f>_xlfn.XLOOKUP(ROW(I102)+1-ROW(I$86),報告用!$AK$44:$AK$87,報告用!$G$44:$G$87,"",FALSE)</f>
        <v/>
      </c>
      <c r="J102" s="134" t="str">
        <f t="shared" si="16"/>
        <v/>
      </c>
      <c r="K102" s="135" t="str">
        <f>IF(_xlfn.XLOOKUP(ROW(K102)+1-ROW(K$86),報告用!$AK$44:$AK$87,報告用!$E$44:$E$87,"",FALSE)=H102,"",_xlfn.XLOOKUP(ROW(K102)+1-ROW(K$86),報告用!$AK$44:$AK$87,報告用!$E$44:$E$87,"",FALSE))</f>
        <v/>
      </c>
      <c r="L102" s="111"/>
      <c r="M102" s="181"/>
      <c r="N102" s="132" t="str">
        <f>_xlfn.XLOOKUP(ROW(N102)+1-ROW(N$86),報告用!$AL$44:$AL$87,報告用!$F$44:$F$87,"",FALSE)</f>
        <v/>
      </c>
      <c r="O102" s="133" t="str">
        <f>_xlfn.XLOOKUP(ROW(O102)+1-ROW(O$86),報告用!$AL$44:$AL$87,報告用!$G$44:$G$87,"",FALSE)</f>
        <v/>
      </c>
      <c r="P102" s="134" t="str">
        <f t="shared" si="17"/>
        <v/>
      </c>
      <c r="Q102" s="135" t="str">
        <f>IF(_xlfn.XLOOKUP(ROW(Q102)+1-ROW(Q$86),報告用!$AL$44:$AL$87,報告用!$E$44:$E$87,"",FALSE)=N102,"",_xlfn.XLOOKUP(ROW(Q102)+1-ROW(Q$86),報告用!$AL$44:$AL$87,報告用!$E$44:$E$87,"",FALSE))</f>
        <v/>
      </c>
    </row>
    <row r="103" spans="1:17" ht="15.95" customHeight="1">
      <c r="A103" s="110"/>
      <c r="B103" s="110"/>
      <c r="C103" s="110"/>
      <c r="D103" s="110"/>
      <c r="E103" s="110"/>
      <c r="F103" s="110"/>
      <c r="G103" s="192" t="s">
        <v>41</v>
      </c>
      <c r="H103" s="192"/>
      <c r="I103" s="192"/>
      <c r="J103" s="192"/>
      <c r="K103" s="192"/>
      <c r="L103" s="110"/>
      <c r="M103" s="110"/>
      <c r="N103" s="110"/>
      <c r="O103" s="110"/>
      <c r="P103" s="110"/>
      <c r="Q103" s="110"/>
    </row>
    <row r="104" spans="1:17" ht="15.95" customHeight="1" thickBot="1">
      <c r="A104" s="193" t="s">
        <v>50</v>
      </c>
      <c r="B104" s="193"/>
      <c r="C104" s="193"/>
      <c r="D104" s="193"/>
      <c r="E104" s="193"/>
      <c r="F104" s="110"/>
      <c r="G104" s="200"/>
      <c r="H104" s="200"/>
      <c r="I104" s="200"/>
      <c r="J104" s="200"/>
      <c r="K104" s="200"/>
      <c r="L104" s="110"/>
      <c r="M104" s="194">
        <f>報告用!$O$2</f>
        <v>46106</v>
      </c>
      <c r="N104" s="194"/>
      <c r="O104" s="194"/>
      <c r="P104" s="194"/>
      <c r="Q104" s="194"/>
    </row>
    <row r="105" spans="1:17" ht="15.95" customHeight="1">
      <c r="A105" s="186" t="s">
        <v>31</v>
      </c>
      <c r="B105" s="182" t="s">
        <v>38</v>
      </c>
      <c r="C105" s="182"/>
      <c r="D105" s="182"/>
      <c r="E105" s="183"/>
      <c r="F105" s="110"/>
      <c r="G105" s="186" t="s">
        <v>31</v>
      </c>
      <c r="H105" s="182" t="s">
        <v>39</v>
      </c>
      <c r="I105" s="182"/>
      <c r="J105" s="182"/>
      <c r="K105" s="183"/>
      <c r="L105" s="111"/>
      <c r="M105" s="186" t="s">
        <v>31</v>
      </c>
      <c r="N105" s="182" t="s">
        <v>22</v>
      </c>
      <c r="O105" s="182"/>
      <c r="P105" s="182"/>
      <c r="Q105" s="183"/>
    </row>
    <row r="106" spans="1:17" ht="15.95" customHeight="1" thickBot="1">
      <c r="A106" s="187"/>
      <c r="B106" s="112" t="s">
        <v>18</v>
      </c>
      <c r="C106" s="184" t="s">
        <v>17</v>
      </c>
      <c r="D106" s="185"/>
      <c r="E106" s="114" t="s">
        <v>30</v>
      </c>
      <c r="F106" s="110"/>
      <c r="G106" s="187"/>
      <c r="H106" s="112" t="s">
        <v>18</v>
      </c>
      <c r="I106" s="184" t="s">
        <v>17</v>
      </c>
      <c r="J106" s="185"/>
      <c r="K106" s="114" t="s">
        <v>30</v>
      </c>
      <c r="L106" s="111"/>
      <c r="M106" s="187"/>
      <c r="N106" s="112" t="s">
        <v>18</v>
      </c>
      <c r="O106" s="184" t="s">
        <v>17</v>
      </c>
      <c r="P106" s="185"/>
      <c r="Q106" s="114" t="s">
        <v>30</v>
      </c>
    </row>
    <row r="107" spans="1:17" ht="15.95" customHeight="1" thickTop="1">
      <c r="A107" s="188" t="s">
        <v>35</v>
      </c>
      <c r="B107" s="117">
        <f>_xlfn.XLOOKUP(ROW(B107)+1-ROW(B$107),報告用!$AH$44:$AH$87,報告用!$F$44:$F$87,"",FALSE)</f>
        <v>22</v>
      </c>
      <c r="C107" s="129" t="str">
        <f>_xlfn.XLOOKUP(ROW(C107)+1-ROW(C$107),報告用!$AH$44:$AH$87,報告用!$G$44:$G$87,"",FALSE)</f>
        <v>丸山　由美子</v>
      </c>
      <c r="D107" s="130" t="str">
        <f>IF(C107="","","様")</f>
        <v>様</v>
      </c>
      <c r="E107" s="118" t="str">
        <f>IF(_xlfn.XLOOKUP(ROW(E107)+1-ROW(E$107),報告用!$AH$44:$AH$87,報告用!$E$44:$E$87,"",FALSE)=B107,"",_xlfn.XLOOKUP(ROW(E107)+1-ROW(E$107),報告用!$AH$44:$AH$87,報告用!$E$44:$E$87,"",FALSE))</f>
        <v/>
      </c>
      <c r="F107" s="110"/>
      <c r="G107" s="188" t="s">
        <v>35</v>
      </c>
      <c r="H107" s="117">
        <f>_xlfn.XLOOKUP(ROW(H107)+1-ROW(H$107),報告用!$AI$44:$AI$87,報告用!$F$44:$F$87,"",FALSE)</f>
        <v>22</v>
      </c>
      <c r="I107" s="129" t="str">
        <f>_xlfn.XLOOKUP(ROW(I107)+1-ROW(I$107),報告用!$AI$44:$AI$87,報告用!$G$44:$G$87,"",FALSE)</f>
        <v>丸山　由美子</v>
      </c>
      <c r="J107" s="130" t="str">
        <f>IF(I107="","","様")</f>
        <v>様</v>
      </c>
      <c r="K107" s="118" t="str">
        <f>IF(_xlfn.XLOOKUP(ROW(K107)+1-ROW(K$107),報告用!$AI$44:$AI$87,報告用!$E$44:$E$87,"",FALSE)=H107,"",_xlfn.XLOOKUP(ROW(K107)+1-ROW(K$107),報告用!$AI$44:$AI$87,報告用!$E$44:$E$87,"",FALSE))</f>
        <v/>
      </c>
      <c r="L107" s="111"/>
      <c r="M107" s="188" t="s">
        <v>35</v>
      </c>
      <c r="N107" s="117">
        <f>_xlfn.XLOOKUP(ROW(N107)+1-ROW(N$107),報告用!$AJ$44:$AJ$87,報告用!$F$44:$F$87,"",FALSE)</f>
        <v>22</v>
      </c>
      <c r="O107" s="129" t="str">
        <f>_xlfn.XLOOKUP(ROW(O107)+1-ROW(O$107),報告用!$AJ$44:$AJ$87,報告用!$G$44:$G$87,"",FALSE)</f>
        <v>丸山　由美子</v>
      </c>
      <c r="P107" s="130" t="str">
        <f>IF(O107="","","様")</f>
        <v>様</v>
      </c>
      <c r="Q107" s="118" t="str">
        <f>IF(_xlfn.XLOOKUP(ROW(Q107)+1-ROW(Q$107),報告用!$AJ$44:$AJ$87,報告用!$E$44:$E$87,"",FALSE)=N107,"",_xlfn.XLOOKUP(ROW(Q107)-ROW(Q$107),報告用!$AJ$44:$AJ$87,報告用!$E$44:$E$87,"",FALSE))</f>
        <v/>
      </c>
    </row>
    <row r="108" spans="1:17" ht="15.95" customHeight="1">
      <c r="A108" s="189"/>
      <c r="B108" s="119">
        <f>_xlfn.XLOOKUP(ROW(B108)+1-ROW(B$107),報告用!$AH$44:$AH$87,報告用!$F$44:$F$87,"",FALSE)</f>
        <v>23</v>
      </c>
      <c r="C108" s="123" t="str">
        <f>_xlfn.XLOOKUP(ROW(C108)+1-ROW(C$107),報告用!$AH$44:$AH$87,報告用!$G$44:$G$87,"",FALSE)</f>
        <v>森下計二</v>
      </c>
      <c r="D108" s="124" t="str">
        <f t="shared" ref="D108:D119" si="20">IF(C108="","","様")</f>
        <v>様</v>
      </c>
      <c r="E108" s="120" t="str">
        <f>IF(_xlfn.XLOOKUP(ROW(E108)+1-ROW(E$107),報告用!$AH$44:$AH$87,報告用!$E$44:$E$87,"",FALSE)=B108,"",_xlfn.XLOOKUP(ROW(E108)+1-ROW(E$107),報告用!$AH$44:$AH$87,報告用!$E$44:$E$87,"",FALSE))</f>
        <v/>
      </c>
      <c r="F108" s="110"/>
      <c r="G108" s="189"/>
      <c r="H108" s="119">
        <f>_xlfn.XLOOKUP(ROW(H108)+1-ROW(H$107),報告用!$AI$44:$AI$87,報告用!$F$44:$F$87,"",FALSE)</f>
        <v>23</v>
      </c>
      <c r="I108" s="123" t="str">
        <f>_xlfn.XLOOKUP(ROW(I108)+1-ROW(I$107),報告用!$AI$44:$AI$87,報告用!$G$44:$G$87,"",FALSE)</f>
        <v>森下計二</v>
      </c>
      <c r="J108" s="124" t="str">
        <f t="shared" ref="J108:J119" si="21">IF(I108="","","様")</f>
        <v>様</v>
      </c>
      <c r="K108" s="120" t="str">
        <f>IF(_xlfn.XLOOKUP(ROW(K108)+1-ROW(K$107),報告用!$AI$44:$AI$87,報告用!$E$44:$E$87,"",FALSE)=H108,"",_xlfn.XLOOKUP(ROW(K108)+1-ROW(K$107),報告用!$AI$44:$AI$87,報告用!$E$44:$E$87,"",FALSE))</f>
        <v/>
      </c>
      <c r="L108" s="111"/>
      <c r="M108" s="189"/>
      <c r="N108" s="119">
        <f>_xlfn.XLOOKUP(ROW(N108)+1-ROW(N$107),報告用!$AJ$44:$AJ$87,報告用!$F$44:$F$87,"",FALSE)</f>
        <v>23</v>
      </c>
      <c r="O108" s="123" t="str">
        <f>_xlfn.XLOOKUP(ROW(O108)+1-ROW(O$107),報告用!$AJ$44:$AJ$87,報告用!$G$44:$G$87,"",FALSE)</f>
        <v>森下計二</v>
      </c>
      <c r="P108" s="124" t="str">
        <f t="shared" ref="P108:P119" si="22">IF(O108="","","様")</f>
        <v>様</v>
      </c>
      <c r="Q108" s="120" t="str">
        <f>IF(_xlfn.XLOOKUP(ROW(Q108)+1-ROW(Q$107),報告用!$AJ$44:$AJ$87,報告用!$E$44:$E$87,"",FALSE)=N108,"",_xlfn.XLOOKUP(ROW(Q108)-ROW(Q$107),報告用!$AJ$44:$AJ$87,報告用!$E$44:$E$87,"",FALSE))</f>
        <v/>
      </c>
    </row>
    <row r="109" spans="1:17" ht="15.95" customHeight="1">
      <c r="A109" s="189"/>
      <c r="B109" s="119">
        <f>_xlfn.XLOOKUP(ROW(B109)+1-ROW(B$107),報告用!$AH$44:$AH$87,報告用!$F$44:$F$87,"",FALSE)</f>
        <v>25</v>
      </c>
      <c r="C109" s="123" t="str">
        <f>_xlfn.XLOOKUP(ROW(C109)+1-ROW(C$107),報告用!$AH$44:$AH$87,報告用!$G$44:$G$87,"",FALSE)</f>
        <v>鈴木　賢浄</v>
      </c>
      <c r="D109" s="124" t="str">
        <f t="shared" si="20"/>
        <v>様</v>
      </c>
      <c r="E109" s="120" t="str">
        <f>IF(_xlfn.XLOOKUP(ROW(E109)+1-ROW(E$107),報告用!$AH$44:$AH$87,報告用!$E$44:$E$87,"",FALSE)=B109,"",_xlfn.XLOOKUP(ROW(E109)+1-ROW(E$107),報告用!$AH$44:$AH$87,報告用!$E$44:$E$87,"",FALSE))</f>
        <v/>
      </c>
      <c r="F109" s="110"/>
      <c r="G109" s="189"/>
      <c r="H109" s="119">
        <f>_xlfn.XLOOKUP(ROW(H109)+1-ROW(H$107),報告用!$AI$44:$AI$87,報告用!$F$44:$F$87,"",FALSE)</f>
        <v>25</v>
      </c>
      <c r="I109" s="123" t="str">
        <f>_xlfn.XLOOKUP(ROW(I109)+1-ROW(I$107),報告用!$AI$44:$AI$87,報告用!$G$44:$G$87,"",FALSE)</f>
        <v>鈴木　賢浄</v>
      </c>
      <c r="J109" s="124" t="str">
        <f t="shared" si="21"/>
        <v>様</v>
      </c>
      <c r="K109" s="120" t="str">
        <f>IF(_xlfn.XLOOKUP(ROW(K109)+1-ROW(K$107),報告用!$AI$44:$AI$87,報告用!$E$44:$E$87,"",FALSE)=H109,"",_xlfn.XLOOKUP(ROW(K109)+1-ROW(K$107),報告用!$AI$44:$AI$87,報告用!$E$44:$E$87,"",FALSE))</f>
        <v/>
      </c>
      <c r="L109" s="111"/>
      <c r="M109" s="189"/>
      <c r="N109" s="119">
        <f>_xlfn.XLOOKUP(ROW(N109)+1-ROW(N$107),報告用!$AJ$44:$AJ$87,報告用!$F$44:$F$87,"",FALSE)</f>
        <v>25</v>
      </c>
      <c r="O109" s="123" t="str">
        <f>_xlfn.XLOOKUP(ROW(O109)+1-ROW(O$107),報告用!$AJ$44:$AJ$87,報告用!$G$44:$G$87,"",FALSE)</f>
        <v>鈴木　賢浄</v>
      </c>
      <c r="P109" s="124" t="str">
        <f t="shared" si="22"/>
        <v>様</v>
      </c>
      <c r="Q109" s="120" t="str">
        <f>IF(_xlfn.XLOOKUP(ROW(Q109)+1-ROW(Q$107),報告用!$AJ$44:$AJ$87,報告用!$E$44:$E$87,"",FALSE)=N109,"",_xlfn.XLOOKUP(ROW(Q109)-ROW(Q$107),報告用!$AJ$44:$AJ$87,報告用!$E$44:$E$87,"",FALSE))</f>
        <v/>
      </c>
    </row>
    <row r="110" spans="1:17" ht="15.95" customHeight="1">
      <c r="A110" s="189"/>
      <c r="B110" s="119">
        <f>_xlfn.XLOOKUP(ROW(B110)+1-ROW(B$107),報告用!$AH$44:$AH$87,報告用!$F$44:$F$87,"",FALSE)</f>
        <v>1</v>
      </c>
      <c r="C110" s="123" t="str">
        <f>_xlfn.XLOOKUP(ROW(C110)+1-ROW(C$107),報告用!$AH$44:$AH$87,報告用!$G$44:$G$87,"",FALSE)</f>
        <v>笹本　定子</v>
      </c>
      <c r="D110" s="124" t="str">
        <f t="shared" si="20"/>
        <v>様</v>
      </c>
      <c r="E110" s="120" t="str">
        <f>IF(_xlfn.XLOOKUP(ROW(E110)+1-ROW(E$107),報告用!$AH$44:$AH$87,報告用!$E$44:$E$87,"",FALSE)=B110,"",_xlfn.XLOOKUP(ROW(E110)+1-ROW(E$107),報告用!$AH$44:$AH$87,報告用!$E$44:$E$87,"",FALSE))</f>
        <v/>
      </c>
      <c r="F110" s="110"/>
      <c r="G110" s="189"/>
      <c r="H110" s="119">
        <f>_xlfn.XLOOKUP(ROW(H110)+1-ROW(H$107),報告用!$AI$44:$AI$87,報告用!$F$44:$F$87,"",FALSE)</f>
        <v>1</v>
      </c>
      <c r="I110" s="123" t="str">
        <f>_xlfn.XLOOKUP(ROW(I110)+1-ROW(I$107),報告用!$AI$44:$AI$87,報告用!$G$44:$G$87,"",FALSE)</f>
        <v>笹本　定子</v>
      </c>
      <c r="J110" s="124" t="str">
        <f t="shared" si="21"/>
        <v>様</v>
      </c>
      <c r="K110" s="120" t="str">
        <f>IF(_xlfn.XLOOKUP(ROW(K110)+1-ROW(K$107),報告用!$AI$44:$AI$87,報告用!$E$44:$E$87,"",FALSE)=H110,"",_xlfn.XLOOKUP(ROW(K110)+1-ROW(K$107),報告用!$AI$44:$AI$87,報告用!$E$44:$E$87,"",FALSE))</f>
        <v/>
      </c>
      <c r="L110" s="111"/>
      <c r="M110" s="189"/>
      <c r="N110" s="119">
        <f>_xlfn.XLOOKUP(ROW(N110)+1-ROW(N$107),報告用!$AJ$44:$AJ$87,報告用!$F$44:$F$87,"",FALSE)</f>
        <v>1</v>
      </c>
      <c r="O110" s="123" t="str">
        <f>_xlfn.XLOOKUP(ROW(O110)+1-ROW(O$107),報告用!$AJ$44:$AJ$87,報告用!$G$44:$G$87,"",FALSE)</f>
        <v>笹本　定子</v>
      </c>
      <c r="P110" s="124" t="str">
        <f t="shared" si="22"/>
        <v>様</v>
      </c>
      <c r="Q110" s="120" t="str">
        <f>IF(_xlfn.XLOOKUP(ROW(Q110)+1-ROW(Q$107),報告用!$AJ$44:$AJ$87,報告用!$E$44:$E$87,"",FALSE)=N110,"",_xlfn.XLOOKUP(ROW(Q110)-ROW(Q$107),報告用!$AJ$44:$AJ$87,報告用!$E$44:$E$87,"",FALSE))</f>
        <v/>
      </c>
    </row>
    <row r="111" spans="1:17" ht="15.95" customHeight="1">
      <c r="A111" s="189"/>
      <c r="B111" s="119">
        <f>_xlfn.XLOOKUP(ROW(B111)+1-ROW(B$107),報告用!$AH$44:$AH$87,報告用!$F$44:$F$87,"",FALSE)</f>
        <v>3</v>
      </c>
      <c r="C111" s="123" t="str">
        <f>_xlfn.XLOOKUP(ROW(C111)+1-ROW(C$107),報告用!$AH$44:$AH$87,報告用!$G$44:$G$87,"",FALSE)</f>
        <v>コナカザワキクコ</v>
      </c>
      <c r="D111" s="124" t="str">
        <f t="shared" si="20"/>
        <v>様</v>
      </c>
      <c r="E111" s="120">
        <f>IF(_xlfn.XLOOKUP(ROW(E111)+1-ROW(E$107),報告用!$AH$44:$AH$87,報告用!$E$44:$E$87,"",FALSE)=B111,"",_xlfn.XLOOKUP(ROW(E111)+1-ROW(E$107),報告用!$AH$44:$AH$87,報告用!$E$44:$E$87,"",FALSE))</f>
        <v>2</v>
      </c>
      <c r="F111" s="110"/>
      <c r="G111" s="189"/>
      <c r="H111" s="119">
        <f>_xlfn.XLOOKUP(ROW(H111)+1-ROW(H$107),報告用!$AI$44:$AI$87,報告用!$F$44:$F$87,"",FALSE)</f>
        <v>3</v>
      </c>
      <c r="I111" s="123" t="str">
        <f>_xlfn.XLOOKUP(ROW(I111)+1-ROW(I$107),報告用!$AI$44:$AI$87,報告用!$G$44:$G$87,"",FALSE)</f>
        <v>コナカザワキクコ</v>
      </c>
      <c r="J111" s="124" t="str">
        <f t="shared" si="21"/>
        <v>様</v>
      </c>
      <c r="K111" s="120">
        <f>IF(_xlfn.XLOOKUP(ROW(K111)+1-ROW(K$107),報告用!$AI$44:$AI$87,報告用!$E$44:$E$87,"",FALSE)=H111,"",_xlfn.XLOOKUP(ROW(K111)+1-ROW(K$107),報告用!$AI$44:$AI$87,報告用!$E$44:$E$87,"",FALSE))</f>
        <v>2</v>
      </c>
      <c r="L111" s="111"/>
      <c r="M111" s="189"/>
      <c r="N111" s="119">
        <f>_xlfn.XLOOKUP(ROW(N111)+1-ROW(N$107),報告用!$AJ$44:$AJ$87,報告用!$F$44:$F$87,"",FALSE)</f>
        <v>3</v>
      </c>
      <c r="O111" s="123" t="str">
        <f>_xlfn.XLOOKUP(ROW(O111)+1-ROW(O$107),報告用!$AJ$44:$AJ$87,報告用!$G$44:$G$87,"",FALSE)</f>
        <v>コナカザワキクコ</v>
      </c>
      <c r="P111" s="124" t="str">
        <f t="shared" si="22"/>
        <v>様</v>
      </c>
      <c r="Q111" s="120">
        <f>IF(_xlfn.XLOOKUP(ROW(Q111)+1-ROW(Q$107),報告用!$AJ$44:$AJ$87,報告用!$E$44:$E$87,"",FALSE)=N111,"",_xlfn.XLOOKUP(ROW(Q111)-ROW(Q$107),報告用!$AJ$44:$AJ$87,報告用!$E$44:$E$87,"",FALSE))</f>
        <v>1</v>
      </c>
    </row>
    <row r="112" spans="1:17" ht="15.95" customHeight="1">
      <c r="A112" s="189"/>
      <c r="B112" s="119">
        <f>_xlfn.XLOOKUP(ROW(B112)+1-ROW(B$107),報告用!$AH$44:$AH$87,報告用!$F$44:$F$87,"",FALSE)</f>
        <v>5</v>
      </c>
      <c r="C112" s="123" t="str">
        <f>_xlfn.XLOOKUP(ROW(C112)+1-ROW(C$107),報告用!$AH$44:$AH$87,報告用!$G$44:$G$87,"",FALSE)</f>
        <v>高田 保英</v>
      </c>
      <c r="D112" s="124" t="str">
        <f t="shared" si="20"/>
        <v>様</v>
      </c>
      <c r="E112" s="120">
        <f>IF(_xlfn.XLOOKUP(ROW(E112)+1-ROW(E$107),報告用!$AH$44:$AH$87,報告用!$E$44:$E$87,"",FALSE)=B112,"",_xlfn.XLOOKUP(ROW(E112)+1-ROW(E$107),報告用!$AH$44:$AH$87,報告用!$E$44:$E$87,"",FALSE))</f>
        <v>25</v>
      </c>
      <c r="F112" s="110"/>
      <c r="G112" s="189"/>
      <c r="H112" s="119">
        <f>_xlfn.XLOOKUP(ROW(H112)+1-ROW(H$107),報告用!$AI$44:$AI$87,報告用!$F$44:$F$87,"",FALSE)</f>
        <v>5</v>
      </c>
      <c r="I112" s="123" t="str">
        <f>_xlfn.XLOOKUP(ROW(I112)+1-ROW(I$107),報告用!$AI$44:$AI$87,報告用!$G$44:$G$87,"",FALSE)</f>
        <v>高田 保英</v>
      </c>
      <c r="J112" s="124" t="str">
        <f t="shared" si="21"/>
        <v>様</v>
      </c>
      <c r="K112" s="120">
        <f>IF(_xlfn.XLOOKUP(ROW(K112)+1-ROW(K$107),報告用!$AI$44:$AI$87,報告用!$E$44:$E$87,"",FALSE)=H112,"",_xlfn.XLOOKUP(ROW(K112)+1-ROW(K$107),報告用!$AI$44:$AI$87,報告用!$E$44:$E$87,"",FALSE))</f>
        <v>25</v>
      </c>
      <c r="L112" s="111"/>
      <c r="M112" s="189"/>
      <c r="N112" s="119">
        <f>_xlfn.XLOOKUP(ROW(N112)+1-ROW(N$107),報告用!$AJ$44:$AJ$87,報告用!$F$44:$F$87,"",FALSE)</f>
        <v>5</v>
      </c>
      <c r="O112" s="123" t="str">
        <f>_xlfn.XLOOKUP(ROW(O112)+1-ROW(O$107),報告用!$AJ$44:$AJ$87,報告用!$G$44:$G$87,"",FALSE)</f>
        <v>高田 保英</v>
      </c>
      <c r="P112" s="124" t="str">
        <f t="shared" si="22"/>
        <v>様</v>
      </c>
      <c r="Q112" s="120">
        <f>IF(_xlfn.XLOOKUP(ROW(Q112)+1-ROW(Q$107),報告用!$AJ$44:$AJ$87,報告用!$E$44:$E$87,"",FALSE)=N112,"",_xlfn.XLOOKUP(ROW(Q112)-ROW(Q$107),報告用!$AJ$44:$AJ$87,報告用!$E$44:$E$87,"",FALSE))</f>
        <v>2</v>
      </c>
    </row>
    <row r="113" spans="1:17" ht="15.95" customHeight="1">
      <c r="A113" s="189"/>
      <c r="B113" s="119">
        <f>_xlfn.XLOOKUP(ROW(B113)+1-ROW(B$107),報告用!$AH$44:$AH$87,報告用!$F$44:$F$87,"",FALSE)</f>
        <v>8</v>
      </c>
      <c r="C113" s="123" t="str">
        <f>_xlfn.XLOOKUP(ROW(C113)+1-ROW(C$107),報告用!$AH$44:$AH$87,報告用!$G$44:$G$87,"",FALSE)</f>
        <v>望月　昭利(短時間)</v>
      </c>
      <c r="D113" s="124" t="str">
        <f t="shared" si="20"/>
        <v>様</v>
      </c>
      <c r="E113" s="120">
        <f>IF(_xlfn.XLOOKUP(ROW(E113)+1-ROW(E$107),報告用!$AH$44:$AH$87,報告用!$E$44:$E$87,"",FALSE)=B113,"",_xlfn.XLOOKUP(ROW(E113)+1-ROW(E$107),報告用!$AH$44:$AH$87,報告用!$E$44:$E$87,"",FALSE))</f>
        <v>5</v>
      </c>
      <c r="F113" s="110"/>
      <c r="G113" s="189"/>
      <c r="H113" s="119">
        <f>_xlfn.XLOOKUP(ROW(H113)+1-ROW(H$107),報告用!$AI$44:$AI$87,報告用!$F$44:$F$87,"",FALSE)</f>
        <v>8</v>
      </c>
      <c r="I113" s="123" t="str">
        <f>_xlfn.XLOOKUP(ROW(I113)+1-ROW(I$107),報告用!$AI$44:$AI$87,報告用!$G$44:$G$87,"",FALSE)</f>
        <v>望月　昭利(短時間)</v>
      </c>
      <c r="J113" s="124" t="str">
        <f t="shared" si="21"/>
        <v>様</v>
      </c>
      <c r="K113" s="120">
        <f>IF(_xlfn.XLOOKUP(ROW(K113)+1-ROW(K$107),報告用!$AI$44:$AI$87,報告用!$E$44:$E$87,"",FALSE)=H113,"",_xlfn.XLOOKUP(ROW(K113)+1-ROW(K$107),報告用!$AI$44:$AI$87,報告用!$E$44:$E$87,"",FALSE))</f>
        <v>5</v>
      </c>
      <c r="L113" s="111"/>
      <c r="M113" s="189"/>
      <c r="N113" s="119">
        <f>_xlfn.XLOOKUP(ROW(N113)+1-ROW(N$107),報告用!$AJ$44:$AJ$87,報告用!$F$44:$F$87,"",FALSE)</f>
        <v>8</v>
      </c>
      <c r="O113" s="123" t="str">
        <f>_xlfn.XLOOKUP(ROW(O113)+1-ROW(O$107),報告用!$AJ$44:$AJ$87,報告用!$G$44:$G$87,"",FALSE)</f>
        <v>望月　昭利(短時間)</v>
      </c>
      <c r="P113" s="124" t="str">
        <f t="shared" si="22"/>
        <v>様</v>
      </c>
      <c r="Q113" s="120">
        <f>IF(_xlfn.XLOOKUP(ROW(Q113)+1-ROW(Q$107),報告用!$AJ$44:$AJ$87,報告用!$E$44:$E$87,"",FALSE)=N113,"",_xlfn.XLOOKUP(ROW(Q113)-ROW(Q$107),報告用!$AJ$44:$AJ$87,報告用!$E$44:$E$87,"",FALSE))</f>
        <v>25</v>
      </c>
    </row>
    <row r="114" spans="1:17" ht="15.95" customHeight="1">
      <c r="A114" s="189"/>
      <c r="B114" s="119">
        <f>_xlfn.XLOOKUP(ROW(B114)+1-ROW(B$107),報告用!$AH$44:$AH$87,報告用!$F$44:$F$87,"",FALSE)</f>
        <v>12</v>
      </c>
      <c r="C114" s="123" t="str">
        <f>_xlfn.XLOOKUP(ROW(C114)+1-ROW(C$107),報告用!$AH$44:$AH$87,報告用!$G$44:$G$87,"",FALSE)</f>
        <v>馬塲 日出子</v>
      </c>
      <c r="D114" s="124" t="str">
        <f t="shared" si="20"/>
        <v>様</v>
      </c>
      <c r="E114" s="120" t="str">
        <f>IF(_xlfn.XLOOKUP(ROW(E114)+1-ROW(E$107),報告用!$AH$44:$AH$87,報告用!$E$44:$E$87,"",FALSE)=B114,"",_xlfn.XLOOKUP(ROW(E114)+1-ROW(E$107),報告用!$AH$44:$AH$87,報告用!$E$44:$E$87,"",FALSE))</f>
        <v/>
      </c>
      <c r="F114" s="110"/>
      <c r="G114" s="189"/>
      <c r="H114" s="119" t="str">
        <f>_xlfn.XLOOKUP(ROW(H114)+1-ROW(H$107),報告用!$AI$44:$AI$87,報告用!$F$44:$F$87,"",FALSE)</f>
        <v/>
      </c>
      <c r="I114" s="123" t="str">
        <f>_xlfn.XLOOKUP(ROW(I114)+1-ROW(I$107),報告用!$AI$44:$AI$87,報告用!$G$44:$G$87,"",FALSE)</f>
        <v/>
      </c>
      <c r="J114" s="124" t="str">
        <f t="shared" si="21"/>
        <v/>
      </c>
      <c r="K114" s="120" t="str">
        <f>IF(_xlfn.XLOOKUP(ROW(K114)+1-ROW(K$107),報告用!$AI$44:$AI$87,報告用!$E$44:$E$87,"",FALSE)=H114,"",_xlfn.XLOOKUP(ROW(K114)+1-ROW(K$107),報告用!$AI$44:$AI$87,報告用!$E$44:$E$87,"",FALSE))</f>
        <v/>
      </c>
      <c r="L114" s="111"/>
      <c r="M114" s="189"/>
      <c r="N114" s="119">
        <f>_xlfn.XLOOKUP(ROW(N114)+1-ROW(N$107),報告用!$AJ$44:$AJ$87,報告用!$F$44:$F$87,"",FALSE)</f>
        <v>10</v>
      </c>
      <c r="O114" s="123" t="str">
        <f>_xlfn.XLOOKUP(ROW(O114)+1-ROW(O$107),報告用!$AJ$44:$AJ$87,報告用!$G$44:$G$87,"",FALSE)</f>
        <v>古屋　桂子</v>
      </c>
      <c r="P114" s="124" t="str">
        <f t="shared" si="22"/>
        <v>様</v>
      </c>
      <c r="Q114" s="120">
        <f>IF(_xlfn.XLOOKUP(ROW(Q114)+1-ROW(Q$107),報告用!$AJ$44:$AJ$87,報告用!$E$44:$E$87,"",FALSE)=N114,"",_xlfn.XLOOKUP(ROW(Q114)-ROW(Q$107),報告用!$AJ$44:$AJ$87,報告用!$E$44:$E$87,"",FALSE))</f>
        <v>5</v>
      </c>
    </row>
    <row r="115" spans="1:17" ht="15.95" customHeight="1">
      <c r="A115" s="189"/>
      <c r="B115" s="119" t="str">
        <f>_xlfn.XLOOKUP(ROW(B115)+1-ROW(B$107),報告用!$AH$44:$AH$87,報告用!$F$44:$F$87,"",FALSE)</f>
        <v/>
      </c>
      <c r="C115" s="123" t="str">
        <f>_xlfn.XLOOKUP(ROW(C115)+1-ROW(C$107),報告用!$AH$44:$AH$87,報告用!$G$44:$G$87,"",FALSE)</f>
        <v/>
      </c>
      <c r="D115" s="124" t="str">
        <f t="shared" si="20"/>
        <v/>
      </c>
      <c r="E115" s="120" t="str">
        <f>IF(_xlfn.XLOOKUP(ROW(E115)+1-ROW(E$107),報告用!$AH$44:$AH$87,報告用!$E$44:$E$87,"",FALSE)=B115,"",_xlfn.XLOOKUP(ROW(E115)+1-ROW(E$107),報告用!$AH$44:$AH$87,報告用!$E$44:$E$87,"",FALSE))</f>
        <v/>
      </c>
      <c r="F115" s="110"/>
      <c r="G115" s="189"/>
      <c r="H115" s="119" t="str">
        <f>_xlfn.XLOOKUP(ROW(H115)+1-ROW(H$107),報告用!$AI$44:$AI$87,報告用!$F$44:$F$87,"",FALSE)</f>
        <v/>
      </c>
      <c r="I115" s="123" t="str">
        <f>_xlfn.XLOOKUP(ROW(I115)+1-ROW(I$107),報告用!$AI$44:$AI$87,報告用!$G$44:$G$87,"",FALSE)</f>
        <v/>
      </c>
      <c r="J115" s="124" t="str">
        <f t="shared" si="21"/>
        <v/>
      </c>
      <c r="K115" s="120" t="str">
        <f>IF(_xlfn.XLOOKUP(ROW(K115)+1-ROW(K$107),報告用!$AI$44:$AI$87,報告用!$E$44:$E$87,"",FALSE)=H115,"",_xlfn.XLOOKUP(ROW(K115)+1-ROW(K$107),報告用!$AI$44:$AI$87,報告用!$E$44:$E$87,"",FALSE))</f>
        <v/>
      </c>
      <c r="L115" s="111"/>
      <c r="M115" s="189"/>
      <c r="N115" s="119">
        <f>_xlfn.XLOOKUP(ROW(N115)+1-ROW(N$107),報告用!$AJ$44:$AJ$87,報告用!$F$44:$F$87,"",FALSE)</f>
        <v>12</v>
      </c>
      <c r="O115" s="123" t="str">
        <f>_xlfn.XLOOKUP(ROW(O115)+1-ROW(O$107),報告用!$AJ$44:$AJ$87,報告用!$G$44:$G$87,"",FALSE)</f>
        <v>馬塲 日出子</v>
      </c>
      <c r="P115" s="124" t="str">
        <f t="shared" si="22"/>
        <v>様</v>
      </c>
      <c r="Q115" s="120" t="str">
        <f>IF(_xlfn.XLOOKUP(ROW(Q115)+1-ROW(Q$107),報告用!$AJ$44:$AJ$87,報告用!$E$44:$E$87,"",FALSE)=N115,"",_xlfn.XLOOKUP(ROW(Q115)-ROW(Q$107),報告用!$AJ$44:$AJ$87,報告用!$E$44:$E$87,"",FALSE))</f>
        <v/>
      </c>
    </row>
    <row r="116" spans="1:17" ht="15.95" customHeight="1">
      <c r="A116" s="189"/>
      <c r="B116" s="119" t="str">
        <f>_xlfn.XLOOKUP(ROW(B116)+1-ROW(B$107),報告用!$AH$44:$AH$87,報告用!$F$44:$F$87,"",FALSE)</f>
        <v/>
      </c>
      <c r="C116" s="123" t="str">
        <f>_xlfn.XLOOKUP(ROW(C116)+1-ROW(C$107),報告用!$AH$44:$AH$87,報告用!$G$44:$G$87,"",FALSE)</f>
        <v/>
      </c>
      <c r="D116" s="124" t="str">
        <f t="shared" si="20"/>
        <v/>
      </c>
      <c r="E116" s="120" t="str">
        <f>IF(_xlfn.XLOOKUP(ROW(E116)+1-ROW(E$107),報告用!$AH$44:$AH$87,報告用!$E$44:$E$87,"",FALSE)=B116,"",_xlfn.XLOOKUP(ROW(E116)+1-ROW(E$107),報告用!$AH$44:$AH$87,報告用!$E$44:$E$87,"",FALSE))</f>
        <v/>
      </c>
      <c r="F116" s="110"/>
      <c r="G116" s="189"/>
      <c r="H116" s="119" t="str">
        <f>_xlfn.XLOOKUP(ROW(H116)+1-ROW(H$107),報告用!$AI$44:$AI$87,報告用!$F$44:$F$87,"",FALSE)</f>
        <v/>
      </c>
      <c r="I116" s="123" t="str">
        <f>_xlfn.XLOOKUP(ROW(I116)+1-ROW(I$107),報告用!$AI$44:$AI$87,報告用!$G$44:$G$87,"",FALSE)</f>
        <v/>
      </c>
      <c r="J116" s="124" t="str">
        <f t="shared" si="21"/>
        <v/>
      </c>
      <c r="K116" s="120" t="str">
        <f>IF(_xlfn.XLOOKUP(ROW(K116)+1-ROW(K$107),報告用!$AI$44:$AI$87,報告用!$E$44:$E$87,"",FALSE)=H116,"",_xlfn.XLOOKUP(ROW(K116)+1-ROW(K$107),報告用!$AI$44:$AI$87,報告用!$E$44:$E$87,"",FALSE))</f>
        <v/>
      </c>
      <c r="L116" s="111"/>
      <c r="M116" s="189"/>
      <c r="N116" s="119" t="str">
        <f>_xlfn.XLOOKUP(ROW(N116)+1-ROW(N$107),報告用!$AJ$44:$AJ$87,報告用!$F$44:$F$87,"",FALSE)</f>
        <v/>
      </c>
      <c r="O116" s="123" t="str">
        <f>_xlfn.XLOOKUP(ROW(O116)+1-ROW(O$107),報告用!$AJ$44:$AJ$87,報告用!$G$44:$G$87,"",FALSE)</f>
        <v/>
      </c>
      <c r="P116" s="124" t="str">
        <f t="shared" si="22"/>
        <v/>
      </c>
      <c r="Q116" s="120" t="str">
        <f>IF(_xlfn.XLOOKUP(ROW(Q116)+1-ROW(Q$107),報告用!$AJ$44:$AJ$87,報告用!$E$44:$E$87,"",FALSE)=N116,"",_xlfn.XLOOKUP(ROW(Q116)-ROW(Q$107),報告用!$AJ$44:$AJ$87,報告用!$E$44:$E$87,"",FALSE))</f>
        <v/>
      </c>
    </row>
    <row r="117" spans="1:17" ht="15.95" customHeight="1">
      <c r="A117" s="189"/>
      <c r="B117" s="119" t="str">
        <f>_xlfn.XLOOKUP(ROW(B117)+1-ROW(B$107),報告用!$AH$44:$AH$87,報告用!$F$44:$F$87,"",FALSE)</f>
        <v/>
      </c>
      <c r="C117" s="123" t="str">
        <f>_xlfn.XLOOKUP(ROW(C117)+1-ROW(C$107),報告用!$AH$44:$AH$87,報告用!$G$44:$G$87,"",FALSE)</f>
        <v/>
      </c>
      <c r="D117" s="124" t="str">
        <f t="shared" si="20"/>
        <v/>
      </c>
      <c r="E117" s="120" t="str">
        <f>IF(_xlfn.XLOOKUP(ROW(E117)+1-ROW(E$107),報告用!$AH$44:$AH$87,報告用!$E$44:$E$87,"",FALSE)=B117,"",_xlfn.XLOOKUP(ROW(E117)+1-ROW(E$107),報告用!$AH$44:$AH$87,報告用!$E$44:$E$87,"",FALSE))</f>
        <v/>
      </c>
      <c r="F117" s="110"/>
      <c r="G117" s="189"/>
      <c r="H117" s="119" t="str">
        <f>_xlfn.XLOOKUP(ROW(H117)+1-ROW(H$107),報告用!$AI$44:$AI$87,報告用!$F$44:$F$87,"",FALSE)</f>
        <v/>
      </c>
      <c r="I117" s="123" t="str">
        <f>_xlfn.XLOOKUP(ROW(I117)+1-ROW(I$107),報告用!$AI$44:$AI$87,報告用!$G$44:$G$87,"",FALSE)</f>
        <v/>
      </c>
      <c r="J117" s="124" t="str">
        <f t="shared" si="21"/>
        <v/>
      </c>
      <c r="K117" s="120" t="str">
        <f>IF(_xlfn.XLOOKUP(ROW(K117)+1-ROW(K$107),報告用!$AI$44:$AI$87,報告用!$E$44:$E$87,"",FALSE)=H117,"",_xlfn.XLOOKUP(ROW(K117)+1-ROW(K$107),報告用!$AI$44:$AI$87,報告用!$E$44:$E$87,"",FALSE))</f>
        <v/>
      </c>
      <c r="L117" s="111"/>
      <c r="M117" s="189"/>
      <c r="N117" s="119" t="str">
        <f>_xlfn.XLOOKUP(ROW(N117)+1-ROW(N$107),報告用!$AJ$44:$AJ$87,報告用!$F$44:$F$87,"",FALSE)</f>
        <v/>
      </c>
      <c r="O117" s="123" t="str">
        <f>_xlfn.XLOOKUP(ROW(O117)+1-ROW(O$107),報告用!$AJ$44:$AJ$87,報告用!$G$44:$G$87,"",FALSE)</f>
        <v/>
      </c>
      <c r="P117" s="124" t="str">
        <f t="shared" si="22"/>
        <v/>
      </c>
      <c r="Q117" s="120" t="str">
        <f>IF(_xlfn.XLOOKUP(ROW(Q117)+1-ROW(Q$107),報告用!$AJ$44:$AJ$87,報告用!$E$44:$E$87,"",FALSE)=N117,"",_xlfn.XLOOKUP(ROW(Q117)-ROW(Q$107),報告用!$AJ$44:$AJ$87,報告用!$E$44:$E$87,"",FALSE))</f>
        <v/>
      </c>
    </row>
    <row r="118" spans="1:17" ht="15.95" customHeight="1">
      <c r="A118" s="189"/>
      <c r="B118" s="119" t="str">
        <f>_xlfn.XLOOKUP(ROW(B118)+1-ROW(B$107),報告用!$AH$44:$AH$87,報告用!$F$44:$F$87,"",FALSE)</f>
        <v/>
      </c>
      <c r="C118" s="123" t="str">
        <f>_xlfn.XLOOKUP(ROW(C118)+1-ROW(C$107),報告用!$AH$44:$AH$87,報告用!$G$44:$G$87,"",FALSE)</f>
        <v/>
      </c>
      <c r="D118" s="124" t="str">
        <f t="shared" si="20"/>
        <v/>
      </c>
      <c r="E118" s="120" t="str">
        <f>IF(_xlfn.XLOOKUP(ROW(E118)+1-ROW(E$107),報告用!$AH$44:$AH$87,報告用!$E$44:$E$87,"",FALSE)=B118,"",_xlfn.XLOOKUP(ROW(E118)+1-ROW(E$107),報告用!$AH$44:$AH$87,報告用!$E$44:$E$87,"",FALSE))</f>
        <v/>
      </c>
      <c r="F118" s="110"/>
      <c r="G118" s="189"/>
      <c r="H118" s="119" t="str">
        <f>_xlfn.XLOOKUP(ROW(H118)+1-ROW(H$107),報告用!$AI$44:$AI$87,報告用!$F$44:$F$87,"",FALSE)</f>
        <v/>
      </c>
      <c r="I118" s="123" t="str">
        <f>_xlfn.XLOOKUP(ROW(I118)+1-ROW(I$107),報告用!$AI$44:$AI$87,報告用!$G$44:$G$87,"",FALSE)</f>
        <v/>
      </c>
      <c r="J118" s="124" t="str">
        <f t="shared" si="21"/>
        <v/>
      </c>
      <c r="K118" s="120" t="str">
        <f>IF(_xlfn.XLOOKUP(ROW(K118)+1-ROW(K$107),報告用!$AI$44:$AI$87,報告用!$E$44:$E$87,"",FALSE)=H118,"",_xlfn.XLOOKUP(ROW(K118)+1-ROW(K$107),報告用!$AI$44:$AI$87,報告用!$E$44:$E$87,"",FALSE))</f>
        <v/>
      </c>
      <c r="L118" s="111"/>
      <c r="M118" s="189"/>
      <c r="N118" s="119" t="str">
        <f>_xlfn.XLOOKUP(ROW(N118)+1-ROW(N$107),報告用!$AJ$44:$AJ$87,報告用!$F$44:$F$87,"",FALSE)</f>
        <v/>
      </c>
      <c r="O118" s="123" t="str">
        <f>_xlfn.XLOOKUP(ROW(O118)+1-ROW(O$107),報告用!$AJ$44:$AJ$87,報告用!$G$44:$G$87,"",FALSE)</f>
        <v/>
      </c>
      <c r="P118" s="124" t="str">
        <f t="shared" si="22"/>
        <v/>
      </c>
      <c r="Q118" s="120" t="str">
        <f>IF(_xlfn.XLOOKUP(ROW(Q118)+1-ROW(Q$107),報告用!$AJ$44:$AJ$87,報告用!$E$44:$E$87,"",FALSE)=N118,"",_xlfn.XLOOKUP(ROW(Q118)-ROW(Q$107),報告用!$AJ$44:$AJ$87,報告用!$E$44:$E$87,"",FALSE))</f>
        <v/>
      </c>
    </row>
    <row r="119" spans="1:17" ht="15.95" customHeight="1" thickBot="1">
      <c r="A119" s="190"/>
      <c r="B119" s="125" t="str">
        <f>_xlfn.XLOOKUP(ROW(B119)+1-ROW(B$107),報告用!$AH$44:$AH$87,報告用!$F$44:$F$87,"",FALSE)</f>
        <v/>
      </c>
      <c r="C119" s="126" t="str">
        <f>_xlfn.XLOOKUP(ROW(C119)+1-ROW(C$107),報告用!$AH$44:$AH$87,報告用!$G$44:$G$87,"",FALSE)</f>
        <v/>
      </c>
      <c r="D119" s="127" t="str">
        <f t="shared" si="20"/>
        <v/>
      </c>
      <c r="E119" s="128" t="str">
        <f>IF(_xlfn.XLOOKUP(ROW(E119)+1-ROW(E$107),報告用!$AH$44:$AH$87,報告用!$E$44:$E$87,"",FALSE)=B119,"",_xlfn.XLOOKUP(ROW(E119)+1-ROW(E$107),報告用!$AH$44:$AH$87,報告用!$E$44:$E$87,"",FALSE))</f>
        <v/>
      </c>
      <c r="F119" s="110"/>
      <c r="G119" s="190"/>
      <c r="H119" s="125" t="str">
        <f>_xlfn.XLOOKUP(ROW(H119)+1-ROW(H$107),報告用!$AI$44:$AI$87,報告用!$F$44:$F$87,"",FALSE)</f>
        <v/>
      </c>
      <c r="I119" s="126" t="str">
        <f>_xlfn.XLOOKUP(ROW(I119)+1-ROW(I$107),報告用!$AI$44:$AI$87,報告用!$G$44:$G$87,"",FALSE)</f>
        <v/>
      </c>
      <c r="J119" s="127" t="str">
        <f t="shared" si="21"/>
        <v/>
      </c>
      <c r="K119" s="128" t="str">
        <f>IF(_xlfn.XLOOKUP(ROW(K119)+1-ROW(K$107),報告用!$AI$44:$AI$87,報告用!$E$44:$E$87,"",FALSE)=H119,"",_xlfn.XLOOKUP(ROW(K119)+1-ROW(K$107),報告用!$AI$44:$AI$87,報告用!$E$44:$E$87,"",FALSE))</f>
        <v/>
      </c>
      <c r="L119" s="111"/>
      <c r="M119" s="190"/>
      <c r="N119" s="125" t="str">
        <f>_xlfn.XLOOKUP(ROW(N119)+1-ROW(N$107),報告用!$AJ$44:$AJ$87,報告用!$F$44:$F$87,"",FALSE)</f>
        <v/>
      </c>
      <c r="O119" s="126" t="str">
        <f>_xlfn.XLOOKUP(ROW(O119)+1-ROW(O$107),報告用!$AJ$44:$AJ$87,報告用!$G$44:$G$87,"",FALSE)</f>
        <v/>
      </c>
      <c r="P119" s="127" t="str">
        <f t="shared" si="22"/>
        <v/>
      </c>
      <c r="Q119" s="128" t="str">
        <f>IF(_xlfn.XLOOKUP(ROW(Q119)+1-ROW(Q$107),報告用!$AJ$44:$AJ$87,報告用!$E$44:$E$87,"",FALSE)=N119,"",_xlfn.XLOOKUP(ROW(Q119)-ROW(Q$107),報告用!$AJ$44:$AJ$87,報告用!$E$44:$E$87,"",FALSE))</f>
        <v/>
      </c>
    </row>
    <row r="120" spans="1:17" ht="15.95" customHeight="1" thickTop="1">
      <c r="A120" s="179" t="s">
        <v>25</v>
      </c>
      <c r="B120" s="119">
        <f>_xlfn.XLOOKUP(ROW(B120)+1-ROW(B$120),報告用!$AM$44:$AM$87,報告用!$F$44:$F$87,"",FALSE)</f>
        <v>23</v>
      </c>
      <c r="C120" s="123" t="str">
        <f>_xlfn.XLOOKUP(ROW(C120)+1-ROW(C$120),報告用!$AM$44:$AM$87,報告用!$G$44:$G$87,"",FALSE)</f>
        <v>森下計二</v>
      </c>
      <c r="D120" s="124" t="str">
        <f>IF(C120="","","様")</f>
        <v>様</v>
      </c>
      <c r="E120" s="120" t="str">
        <f>IF(_xlfn.XLOOKUP(ROW(E120)+1-ROW(E$120),報告用!$AM$44:$AM$87,報告用!$E$44:$E$87,"",FALSE)=B120,"",_xlfn.XLOOKUP(ROW(E120)+1-ROW(E$120),報告用!$AM$44:$AM$87,報告用!$E$44:$E$87,"",FALSE))</f>
        <v/>
      </c>
      <c r="F120" s="110"/>
      <c r="G120" s="179" t="s">
        <v>25</v>
      </c>
      <c r="H120" s="119">
        <f>_xlfn.XLOOKUP(ROW(H120)+1-ROW(H$120),報告用!$AN$44:$AN$87,報告用!$F$44:$F$87,"",FALSE)</f>
        <v>23</v>
      </c>
      <c r="I120" s="123" t="str">
        <f>_xlfn.XLOOKUP(ROW(I120)+1-ROW(I$120),報告用!$AN$44:$AN$87,報告用!$G$44:$G$87,"",FALSE)</f>
        <v>森下計二</v>
      </c>
      <c r="J120" s="124" t="str">
        <f>IF(I120="","","様")</f>
        <v>様</v>
      </c>
      <c r="K120" s="120" t="str">
        <f>IF(_xlfn.XLOOKUP(ROW(K120)+1-ROW(K$120),報告用!$AN$44:$AN$87,報告用!$E$44:$E$87,"",FALSE)=H120,"",_xlfn.XLOOKUP(ROW(K120)+1-ROW(K$120),報告用!$AN$44:$AN$87,報告用!$E$44:$E$87,"",FALSE))</f>
        <v/>
      </c>
      <c r="L120" s="111"/>
      <c r="M120" s="179" t="s">
        <v>25</v>
      </c>
      <c r="N120" s="119">
        <f>_xlfn.XLOOKUP(ROW(N120)+1-ROW(N$120),報告用!$AO$44:$AO$87,報告用!$F$44:$F$87,"",FALSE)</f>
        <v>23</v>
      </c>
      <c r="O120" s="123" t="str">
        <f>_xlfn.XLOOKUP(ROW(O120)+1-ROW(O$120),報告用!$AO$44:$AO$87,報告用!$G$44:$G$87,"",FALSE)</f>
        <v>森下計二</v>
      </c>
      <c r="P120" s="124" t="str">
        <f>IF(O120="","","様")</f>
        <v>様</v>
      </c>
      <c r="Q120" s="120" t="str">
        <f>IF(_xlfn.XLOOKUP(ROW(Q120)+1-ROW(Q$120),報告用!$AO$44:$AO$87,報告用!$E$44:$E$87,"",FALSE)=N120,"",_xlfn.XLOOKUP(ROW(Q120)+1-ROW(Q$120),報告用!$AO$44:$AO$87,報告用!$E$44:$E$87,"",FALSE))</f>
        <v/>
      </c>
    </row>
    <row r="121" spans="1:17" ht="15.95" customHeight="1">
      <c r="A121" s="180"/>
      <c r="B121" s="119">
        <f>_xlfn.XLOOKUP(ROW(B121)+1-ROW(B$120),報告用!$AM$44:$AM$87,報告用!$F$44:$F$87,"",FALSE)</f>
        <v>23</v>
      </c>
      <c r="C121" s="123" t="str">
        <f>_xlfn.XLOOKUP(ROW(C121)+1-ROW(C$120),報告用!$AM$44:$AM$87,報告用!$G$44:$G$87,"",FALSE)</f>
        <v>遠山　貞一</v>
      </c>
      <c r="D121" s="124" t="str">
        <f t="shared" ref="D121:D136" si="23">IF(C121="","","様")</f>
        <v>様</v>
      </c>
      <c r="E121" s="120" t="str">
        <f>IF(_xlfn.XLOOKUP(ROW(E121)+1-ROW(E$120),報告用!$AM$44:$AM$87,報告用!$E$44:$E$87,"",FALSE)=B121,"",_xlfn.XLOOKUP(ROW(E121)+1-ROW(E$120),報告用!$AM$44:$AM$87,報告用!$E$44:$E$87,"",FALSE))</f>
        <v/>
      </c>
      <c r="F121" s="110"/>
      <c r="G121" s="180"/>
      <c r="H121" s="119">
        <f>_xlfn.XLOOKUP(ROW(H121)+1-ROW(H$120),報告用!$AN$44:$AN$87,報告用!$F$44:$F$87,"",FALSE)</f>
        <v>23</v>
      </c>
      <c r="I121" s="123" t="str">
        <f>_xlfn.XLOOKUP(ROW(I121)+1-ROW(I$120),報告用!$AN$44:$AN$87,報告用!$G$44:$G$87,"",FALSE)</f>
        <v>遠山　貞一</v>
      </c>
      <c r="J121" s="124" t="str">
        <f t="shared" ref="J121:J136" si="24">IF(I121="","","様")</f>
        <v>様</v>
      </c>
      <c r="K121" s="120" t="str">
        <f>IF(_xlfn.XLOOKUP(ROW(K121)+1-ROW(K$120),報告用!$AN$44:$AN$87,報告用!$E$44:$E$87,"",FALSE)=H121,"",_xlfn.XLOOKUP(ROW(K121)+1-ROW(K$120),報告用!$AN$44:$AN$87,報告用!$E$44:$E$87,"",FALSE))</f>
        <v/>
      </c>
      <c r="L121" s="111"/>
      <c r="M121" s="180"/>
      <c r="N121" s="119">
        <f>_xlfn.XLOOKUP(ROW(N121)+1-ROW(N$120),報告用!$AO$44:$AO$87,報告用!$F$44:$F$87,"",FALSE)</f>
        <v>23</v>
      </c>
      <c r="O121" s="123" t="str">
        <f>_xlfn.XLOOKUP(ROW(O121)+1-ROW(O$120),報告用!$AO$44:$AO$87,報告用!$G$44:$G$87,"",FALSE)</f>
        <v>遠山　貞一</v>
      </c>
      <c r="P121" s="124" t="str">
        <f t="shared" ref="P121:P136" si="25">IF(O121="","","様")</f>
        <v>様</v>
      </c>
      <c r="Q121" s="120" t="str">
        <f>IF(_xlfn.XLOOKUP(ROW(Q121)+1-ROW(Q$120),報告用!$AO$44:$AO$87,報告用!$E$44:$E$87,"",FALSE)=N121,"",_xlfn.XLOOKUP(ROW(Q121)+1-ROW(Q$120),報告用!$AO$44:$AO$87,報告用!$E$44:$E$87,"",FALSE))</f>
        <v/>
      </c>
    </row>
    <row r="122" spans="1:17" ht="15.95" customHeight="1">
      <c r="A122" s="180"/>
      <c r="B122" s="119">
        <f>_xlfn.XLOOKUP(ROW(B122)+1-ROW(B$120),報告用!$AM$44:$AM$87,報告用!$F$44:$F$87,"",FALSE)</f>
        <v>25</v>
      </c>
      <c r="C122" s="123" t="str">
        <f>_xlfn.XLOOKUP(ROW(C122)+1-ROW(C$120),報告用!$AM$44:$AM$87,報告用!$G$44:$G$87,"",FALSE)</f>
        <v>千野　周恵</v>
      </c>
      <c r="D122" s="124" t="str">
        <f t="shared" si="23"/>
        <v>様</v>
      </c>
      <c r="E122" s="120" t="str">
        <f>IF(_xlfn.XLOOKUP(ROW(E122)+1-ROW(E$120),報告用!$AM$44:$AM$87,報告用!$E$44:$E$87,"",FALSE)=B122,"",_xlfn.XLOOKUP(ROW(E122)+1-ROW(E$120),報告用!$AM$44:$AM$87,報告用!$E$44:$E$87,"",FALSE))</f>
        <v/>
      </c>
      <c r="F122" s="110"/>
      <c r="G122" s="180"/>
      <c r="H122" s="119">
        <f>_xlfn.XLOOKUP(ROW(H122)+1-ROW(H$120),報告用!$AN$44:$AN$87,報告用!$F$44:$F$87,"",FALSE)</f>
        <v>25</v>
      </c>
      <c r="I122" s="123" t="str">
        <f>_xlfn.XLOOKUP(ROW(I122)+1-ROW(I$120),報告用!$AN$44:$AN$87,報告用!$G$44:$G$87,"",FALSE)</f>
        <v>千野　周恵</v>
      </c>
      <c r="J122" s="124" t="str">
        <f t="shared" si="24"/>
        <v>様</v>
      </c>
      <c r="K122" s="120" t="str">
        <f>IF(_xlfn.XLOOKUP(ROW(K122)+1-ROW(K$120),報告用!$AN$44:$AN$87,報告用!$E$44:$E$87,"",FALSE)=H122,"",_xlfn.XLOOKUP(ROW(K122)+1-ROW(K$120),報告用!$AN$44:$AN$87,報告用!$E$44:$E$87,"",FALSE))</f>
        <v/>
      </c>
      <c r="L122" s="111"/>
      <c r="M122" s="180"/>
      <c r="N122" s="119">
        <f>_xlfn.XLOOKUP(ROW(N122)+1-ROW(N$120),報告用!$AO$44:$AO$87,報告用!$F$44:$F$87,"",FALSE)</f>
        <v>25</v>
      </c>
      <c r="O122" s="123" t="str">
        <f>_xlfn.XLOOKUP(ROW(O122)+1-ROW(O$120),報告用!$AO$44:$AO$87,報告用!$G$44:$G$87,"",FALSE)</f>
        <v>千野　周恵</v>
      </c>
      <c r="P122" s="124" t="str">
        <f t="shared" si="25"/>
        <v>様</v>
      </c>
      <c r="Q122" s="120" t="str">
        <f>IF(_xlfn.XLOOKUP(ROW(Q122)+1-ROW(Q$120),報告用!$AO$44:$AO$87,報告用!$E$44:$E$87,"",FALSE)=N122,"",_xlfn.XLOOKUP(ROW(Q122)+1-ROW(Q$120),報告用!$AO$44:$AO$87,報告用!$E$44:$E$87,"",FALSE))</f>
        <v/>
      </c>
    </row>
    <row r="123" spans="1:17" ht="15.95" customHeight="1">
      <c r="A123" s="180"/>
      <c r="B123" s="119">
        <f>_xlfn.XLOOKUP(ROW(B123)+1-ROW(B$120),報告用!$AM$44:$AM$87,報告用!$F$44:$F$87,"",FALSE)</f>
        <v>25</v>
      </c>
      <c r="C123" s="123" t="str">
        <f>_xlfn.XLOOKUP(ROW(C123)+1-ROW(C$120),報告用!$AM$44:$AM$87,報告用!$G$44:$G$87,"",FALSE)</f>
        <v>鈴木　賢浄</v>
      </c>
      <c r="D123" s="124" t="str">
        <f t="shared" si="23"/>
        <v>様</v>
      </c>
      <c r="E123" s="120" t="str">
        <f>IF(_xlfn.XLOOKUP(ROW(E123)+1-ROW(E$120),報告用!$AM$44:$AM$87,報告用!$E$44:$E$87,"",FALSE)=B123,"",_xlfn.XLOOKUP(ROW(E123)+1-ROW(E$120),報告用!$AM$44:$AM$87,報告用!$E$44:$E$87,"",FALSE))</f>
        <v/>
      </c>
      <c r="F123" s="110"/>
      <c r="G123" s="180"/>
      <c r="H123" s="119">
        <f>_xlfn.XLOOKUP(ROW(H123)+1-ROW(H$120),報告用!$AN$44:$AN$87,報告用!$F$44:$F$87,"",FALSE)</f>
        <v>25</v>
      </c>
      <c r="I123" s="123" t="str">
        <f>_xlfn.XLOOKUP(ROW(I123)+1-ROW(I$120),報告用!$AN$44:$AN$87,報告用!$G$44:$G$87,"",FALSE)</f>
        <v>鈴木　賢浄</v>
      </c>
      <c r="J123" s="124" t="str">
        <f t="shared" si="24"/>
        <v>様</v>
      </c>
      <c r="K123" s="120" t="str">
        <f>IF(_xlfn.XLOOKUP(ROW(K123)+1-ROW(K$120),報告用!$AN$44:$AN$87,報告用!$E$44:$E$87,"",FALSE)=H123,"",_xlfn.XLOOKUP(ROW(K123)+1-ROW(K$120),報告用!$AN$44:$AN$87,報告用!$E$44:$E$87,"",FALSE))</f>
        <v/>
      </c>
      <c r="L123" s="111"/>
      <c r="M123" s="180"/>
      <c r="N123" s="119">
        <f>_xlfn.XLOOKUP(ROW(N123)+1-ROW(N$120),報告用!$AO$44:$AO$87,報告用!$F$44:$F$87,"",FALSE)</f>
        <v>25</v>
      </c>
      <c r="O123" s="123" t="str">
        <f>_xlfn.XLOOKUP(ROW(O123)+1-ROW(O$120),報告用!$AO$44:$AO$87,報告用!$G$44:$G$87,"",FALSE)</f>
        <v>鈴木　賢浄</v>
      </c>
      <c r="P123" s="124" t="str">
        <f t="shared" si="25"/>
        <v>様</v>
      </c>
      <c r="Q123" s="120" t="str">
        <f>IF(_xlfn.XLOOKUP(ROW(Q123)+1-ROW(Q$120),報告用!$AO$44:$AO$87,報告用!$E$44:$E$87,"",FALSE)=N123,"",_xlfn.XLOOKUP(ROW(Q123)+1-ROW(Q$120),報告用!$AO$44:$AO$87,報告用!$E$44:$E$87,"",FALSE))</f>
        <v/>
      </c>
    </row>
    <row r="124" spans="1:17" ht="15.95" customHeight="1">
      <c r="A124" s="180"/>
      <c r="B124" s="119">
        <f>_xlfn.XLOOKUP(ROW(B124)+1-ROW(B$120),報告用!$AM$44:$AM$87,報告用!$F$44:$F$87,"",FALSE)</f>
        <v>25</v>
      </c>
      <c r="C124" s="123" t="str">
        <f>_xlfn.XLOOKUP(ROW(C124)+1-ROW(C$120),報告用!$AM$44:$AM$87,報告用!$G$44:$G$87,"",FALSE)</f>
        <v>渡邉　和洋</v>
      </c>
      <c r="D124" s="124" t="str">
        <f t="shared" si="23"/>
        <v>様</v>
      </c>
      <c r="E124" s="120" t="str">
        <f>IF(_xlfn.XLOOKUP(ROW(E124)+1-ROW(E$120),報告用!$AM$44:$AM$87,報告用!$E$44:$E$87,"",FALSE)=B124,"",_xlfn.XLOOKUP(ROW(E124)+1-ROW(E$120),報告用!$AM$44:$AM$87,報告用!$E$44:$E$87,"",FALSE))</f>
        <v/>
      </c>
      <c r="F124" s="110"/>
      <c r="G124" s="180"/>
      <c r="H124" s="119">
        <f>_xlfn.XLOOKUP(ROW(H124)+1-ROW(H$120),報告用!$AN$44:$AN$87,報告用!$F$44:$F$87,"",FALSE)</f>
        <v>25</v>
      </c>
      <c r="I124" s="123" t="str">
        <f>_xlfn.XLOOKUP(ROW(I124)+1-ROW(I$120),報告用!$AN$44:$AN$87,報告用!$G$44:$G$87,"",FALSE)</f>
        <v>渡邉　和洋</v>
      </c>
      <c r="J124" s="124" t="str">
        <f t="shared" si="24"/>
        <v>様</v>
      </c>
      <c r="K124" s="120" t="str">
        <f>IF(_xlfn.XLOOKUP(ROW(K124)+1-ROW(K$120),報告用!$AN$44:$AN$87,報告用!$E$44:$E$87,"",FALSE)=H124,"",_xlfn.XLOOKUP(ROW(K124)+1-ROW(K$120),報告用!$AN$44:$AN$87,報告用!$E$44:$E$87,"",FALSE))</f>
        <v/>
      </c>
      <c r="L124" s="111"/>
      <c r="M124" s="180"/>
      <c r="N124" s="119">
        <f>_xlfn.XLOOKUP(ROW(N124)+1-ROW(N$120),報告用!$AO$44:$AO$87,報告用!$F$44:$F$87,"",FALSE)</f>
        <v>25</v>
      </c>
      <c r="O124" s="123" t="str">
        <f>_xlfn.XLOOKUP(ROW(O124)+1-ROW(O$120),報告用!$AO$44:$AO$87,報告用!$G$44:$G$87,"",FALSE)</f>
        <v>渡邉　和洋</v>
      </c>
      <c r="P124" s="124" t="str">
        <f t="shared" si="25"/>
        <v>様</v>
      </c>
      <c r="Q124" s="120" t="str">
        <f>IF(_xlfn.XLOOKUP(ROW(Q124)+1-ROW(Q$120),報告用!$AO$44:$AO$87,報告用!$E$44:$E$87,"",FALSE)=N124,"",_xlfn.XLOOKUP(ROW(Q124)+1-ROW(Q$120),報告用!$AO$44:$AO$87,報告用!$E$44:$E$87,"",FALSE))</f>
        <v/>
      </c>
    </row>
    <row r="125" spans="1:17" ht="15.95" customHeight="1">
      <c r="A125" s="180"/>
      <c r="B125" s="119">
        <f>_xlfn.XLOOKUP(ROW(B125)+1-ROW(B$120),報告用!$AM$44:$AM$87,報告用!$F$44:$F$87,"",FALSE)</f>
        <v>25</v>
      </c>
      <c r="C125" s="123" t="str">
        <f>_xlfn.XLOOKUP(ROW(C125)+1-ROW(C$120),報告用!$AM$44:$AM$87,報告用!$G$44:$G$87,"",FALSE)</f>
        <v>内藤　範治</v>
      </c>
      <c r="D125" s="124" t="str">
        <f t="shared" si="23"/>
        <v>様</v>
      </c>
      <c r="E125" s="120">
        <f>IF(_xlfn.XLOOKUP(ROW(E125)+1-ROW(E$120),報告用!$AM$44:$AM$87,報告用!$E$44:$E$87,"",FALSE)=B125,"",_xlfn.XLOOKUP(ROW(E125)+1-ROW(E$120),報告用!$AM$44:$AM$87,報告用!$E$44:$E$87,"",FALSE))</f>
        <v>2</v>
      </c>
      <c r="F125" s="110"/>
      <c r="G125" s="180"/>
      <c r="H125" s="119">
        <f>_xlfn.XLOOKUP(ROW(H125)+1-ROW(H$120),報告用!$AN$44:$AN$87,報告用!$F$44:$F$87,"",FALSE)</f>
        <v>25</v>
      </c>
      <c r="I125" s="123" t="str">
        <f>_xlfn.XLOOKUP(ROW(I125)+1-ROW(I$120),報告用!$AN$44:$AN$87,報告用!$G$44:$G$87,"",FALSE)</f>
        <v>内藤　範治</v>
      </c>
      <c r="J125" s="124" t="str">
        <f t="shared" si="24"/>
        <v>様</v>
      </c>
      <c r="K125" s="120">
        <f>IF(_xlfn.XLOOKUP(ROW(K125)+1-ROW(K$120),報告用!$AN$44:$AN$87,報告用!$E$44:$E$87,"",FALSE)=H125,"",_xlfn.XLOOKUP(ROW(K125)+1-ROW(K$120),報告用!$AN$44:$AN$87,報告用!$E$44:$E$87,"",FALSE))</f>
        <v>2</v>
      </c>
      <c r="L125" s="111"/>
      <c r="M125" s="180"/>
      <c r="N125" s="119">
        <f>_xlfn.XLOOKUP(ROW(N125)+1-ROW(N$120),報告用!$AO$44:$AO$87,報告用!$F$44:$F$87,"",FALSE)</f>
        <v>25</v>
      </c>
      <c r="O125" s="123" t="str">
        <f>_xlfn.XLOOKUP(ROW(O125)+1-ROW(O$120),報告用!$AO$44:$AO$87,報告用!$G$44:$G$87,"",FALSE)</f>
        <v>内藤　範治</v>
      </c>
      <c r="P125" s="124" t="str">
        <f t="shared" si="25"/>
        <v>様</v>
      </c>
      <c r="Q125" s="120">
        <f>IF(_xlfn.XLOOKUP(ROW(Q125)+1-ROW(Q$120),報告用!$AO$44:$AO$87,報告用!$E$44:$E$87,"",FALSE)=N125,"",_xlfn.XLOOKUP(ROW(Q125)+1-ROW(Q$120),報告用!$AO$44:$AO$87,報告用!$E$44:$E$87,"",FALSE))</f>
        <v>2</v>
      </c>
    </row>
    <row r="126" spans="1:17" ht="15.95" customHeight="1">
      <c r="A126" s="180"/>
      <c r="B126" s="119">
        <f>_xlfn.XLOOKUP(ROW(B126)+1-ROW(B$120),報告用!$AM$44:$AM$87,報告用!$F$44:$F$87,"",FALSE)</f>
        <v>1</v>
      </c>
      <c r="C126" s="123" t="str">
        <f>_xlfn.XLOOKUP(ROW(C126)+1-ROW(C$120),報告用!$AM$44:$AM$87,報告用!$G$44:$G$87,"",FALSE)</f>
        <v>笹本　定子</v>
      </c>
      <c r="D126" s="124" t="str">
        <f t="shared" si="23"/>
        <v>様</v>
      </c>
      <c r="E126" s="120" t="str">
        <f>IF(_xlfn.XLOOKUP(ROW(E126)+1-ROW(E$120),報告用!$AM$44:$AM$87,報告用!$E$44:$E$87,"",FALSE)=B126,"",_xlfn.XLOOKUP(ROW(E126)+1-ROW(E$120),報告用!$AM$44:$AM$87,報告用!$E$44:$E$87,"",FALSE))</f>
        <v/>
      </c>
      <c r="F126" s="110"/>
      <c r="G126" s="180"/>
      <c r="H126" s="119">
        <f>_xlfn.XLOOKUP(ROW(H126)+1-ROW(H$120),報告用!$AN$44:$AN$87,報告用!$F$44:$F$87,"",FALSE)</f>
        <v>1</v>
      </c>
      <c r="I126" s="123" t="str">
        <f>_xlfn.XLOOKUP(ROW(I126)+1-ROW(I$120),報告用!$AN$44:$AN$87,報告用!$G$44:$G$87,"",FALSE)</f>
        <v>太田　恵須子</v>
      </c>
      <c r="J126" s="124" t="str">
        <f t="shared" si="24"/>
        <v>様</v>
      </c>
      <c r="K126" s="120" t="str">
        <f>IF(_xlfn.XLOOKUP(ROW(K126)+1-ROW(K$120),報告用!$AN$44:$AN$87,報告用!$E$44:$E$87,"",FALSE)=H126,"",_xlfn.XLOOKUP(ROW(K126)+1-ROW(K$120),報告用!$AN$44:$AN$87,報告用!$E$44:$E$87,"",FALSE))</f>
        <v/>
      </c>
      <c r="L126" s="111"/>
      <c r="M126" s="180"/>
      <c r="N126" s="119">
        <f>_xlfn.XLOOKUP(ROW(N126)+1-ROW(N$120),報告用!$AO$44:$AO$87,報告用!$F$44:$F$87,"",FALSE)</f>
        <v>1</v>
      </c>
      <c r="O126" s="123" t="str">
        <f>_xlfn.XLOOKUP(ROW(O126)+1-ROW(O$120),報告用!$AO$44:$AO$87,報告用!$G$44:$G$87,"",FALSE)</f>
        <v>笹本　定子</v>
      </c>
      <c r="P126" s="124" t="str">
        <f t="shared" si="25"/>
        <v>様</v>
      </c>
      <c r="Q126" s="120" t="str">
        <f>IF(_xlfn.XLOOKUP(ROW(Q126)+1-ROW(Q$120),報告用!$AO$44:$AO$87,報告用!$E$44:$E$87,"",FALSE)=N126,"",_xlfn.XLOOKUP(ROW(Q126)+1-ROW(Q$120),報告用!$AO$44:$AO$87,報告用!$E$44:$E$87,"",FALSE))</f>
        <v/>
      </c>
    </row>
    <row r="127" spans="1:17" ht="15.95" customHeight="1">
      <c r="A127" s="180"/>
      <c r="B127" s="119">
        <f>_xlfn.XLOOKUP(ROW(B127)+1-ROW(B$120),報告用!$AM$44:$AM$87,報告用!$F$44:$F$87,"",FALSE)</f>
        <v>3</v>
      </c>
      <c r="C127" s="123" t="str">
        <f>_xlfn.XLOOKUP(ROW(C127)+1-ROW(C$120),報告用!$AM$44:$AM$87,報告用!$G$44:$G$87,"",FALSE)</f>
        <v>大森　俊子</v>
      </c>
      <c r="D127" s="124" t="str">
        <f t="shared" si="23"/>
        <v>様</v>
      </c>
      <c r="E127" s="120" t="str">
        <f>IF(_xlfn.XLOOKUP(ROW(E127)+1-ROW(E$120),報告用!$AM$44:$AM$87,報告用!$E$44:$E$87,"",FALSE)=B127,"",_xlfn.XLOOKUP(ROW(E127)+1-ROW(E$120),報告用!$AM$44:$AM$87,報告用!$E$44:$E$87,"",FALSE))</f>
        <v/>
      </c>
      <c r="F127" s="110"/>
      <c r="G127" s="180"/>
      <c r="H127" s="119">
        <f>_xlfn.XLOOKUP(ROW(H127)+1-ROW(H$120),報告用!$AN$44:$AN$87,報告用!$F$44:$F$87,"",FALSE)</f>
        <v>1</v>
      </c>
      <c r="I127" s="123" t="str">
        <f>_xlfn.XLOOKUP(ROW(I127)+1-ROW(I$120),報告用!$AN$44:$AN$87,報告用!$G$44:$G$87,"",FALSE)</f>
        <v>笹本　定子</v>
      </c>
      <c r="J127" s="124" t="str">
        <f t="shared" si="24"/>
        <v>様</v>
      </c>
      <c r="K127" s="120" t="str">
        <f>IF(_xlfn.XLOOKUP(ROW(K127)+1-ROW(K$120),報告用!$AN$44:$AN$87,報告用!$E$44:$E$87,"",FALSE)=H127,"",_xlfn.XLOOKUP(ROW(K127)+1-ROW(K$120),報告用!$AN$44:$AN$87,報告用!$E$44:$E$87,"",FALSE))</f>
        <v/>
      </c>
      <c r="L127" s="111"/>
      <c r="M127" s="180"/>
      <c r="N127" s="119">
        <f>_xlfn.XLOOKUP(ROW(N127)+1-ROW(N$120),報告用!$AO$44:$AO$87,報告用!$F$44:$F$87,"",FALSE)</f>
        <v>3</v>
      </c>
      <c r="O127" s="123" t="str">
        <f>_xlfn.XLOOKUP(ROW(O127)+1-ROW(O$120),報告用!$AO$44:$AO$87,報告用!$G$44:$G$87,"",FALSE)</f>
        <v>大森　俊子</v>
      </c>
      <c r="P127" s="124" t="str">
        <f t="shared" si="25"/>
        <v>様</v>
      </c>
      <c r="Q127" s="120" t="str">
        <f>IF(_xlfn.XLOOKUP(ROW(Q127)+1-ROW(Q$120),報告用!$AO$44:$AO$87,報告用!$E$44:$E$87,"",FALSE)=N127,"",_xlfn.XLOOKUP(ROW(Q127)+1-ROW(Q$120),報告用!$AO$44:$AO$87,報告用!$E$44:$E$87,"",FALSE))</f>
        <v/>
      </c>
    </row>
    <row r="128" spans="1:17" ht="15.95" customHeight="1">
      <c r="A128" s="180"/>
      <c r="B128" s="119">
        <f>_xlfn.XLOOKUP(ROW(B128)+1-ROW(B$120),報告用!$AM$44:$AM$87,報告用!$F$44:$F$87,"",FALSE)</f>
        <v>5</v>
      </c>
      <c r="C128" s="123" t="str">
        <f>_xlfn.XLOOKUP(ROW(C128)+1-ROW(C$120),報告用!$AM$44:$AM$87,報告用!$G$44:$G$87,"",FALSE)</f>
        <v>高田 保英</v>
      </c>
      <c r="D128" s="124" t="str">
        <f t="shared" si="23"/>
        <v>様</v>
      </c>
      <c r="E128" s="120">
        <f>IF(_xlfn.XLOOKUP(ROW(E128)+1-ROW(E$120),報告用!$AM$44:$AM$87,報告用!$E$44:$E$87,"",FALSE)=B128,"",_xlfn.XLOOKUP(ROW(E128)+1-ROW(E$120),報告用!$AM$44:$AM$87,報告用!$E$44:$E$87,"",FALSE))</f>
        <v>25</v>
      </c>
      <c r="F128" s="110"/>
      <c r="G128" s="180"/>
      <c r="H128" s="119">
        <f>_xlfn.XLOOKUP(ROW(H128)+1-ROW(H$120),報告用!$AN$44:$AN$87,報告用!$F$44:$F$87,"",FALSE)</f>
        <v>5</v>
      </c>
      <c r="I128" s="123" t="str">
        <f>_xlfn.XLOOKUP(ROW(I128)+1-ROW(I$120),報告用!$AN$44:$AN$87,報告用!$G$44:$G$87,"",FALSE)</f>
        <v>高田 保英</v>
      </c>
      <c r="J128" s="124" t="str">
        <f t="shared" si="24"/>
        <v>様</v>
      </c>
      <c r="K128" s="120">
        <f>IF(_xlfn.XLOOKUP(ROW(K128)+1-ROW(K$120),報告用!$AN$44:$AN$87,報告用!$E$44:$E$87,"",FALSE)=H128,"",_xlfn.XLOOKUP(ROW(K128)+1-ROW(K$120),報告用!$AN$44:$AN$87,報告用!$E$44:$E$87,"",FALSE))</f>
        <v>25</v>
      </c>
      <c r="L128" s="111"/>
      <c r="M128" s="180"/>
      <c r="N128" s="119">
        <f>_xlfn.XLOOKUP(ROW(N128)+1-ROW(N$120),報告用!$AO$44:$AO$87,報告用!$F$44:$F$87,"",FALSE)</f>
        <v>5</v>
      </c>
      <c r="O128" s="123" t="str">
        <f>_xlfn.XLOOKUP(ROW(O128)+1-ROW(O$120),報告用!$AO$44:$AO$87,報告用!$G$44:$G$87,"",FALSE)</f>
        <v>高田 保英</v>
      </c>
      <c r="P128" s="124" t="str">
        <f t="shared" si="25"/>
        <v>様</v>
      </c>
      <c r="Q128" s="120">
        <f>IF(_xlfn.XLOOKUP(ROW(Q128)+1-ROW(Q$120),報告用!$AO$44:$AO$87,報告用!$E$44:$E$87,"",FALSE)=N128,"",_xlfn.XLOOKUP(ROW(Q128)+1-ROW(Q$120),報告用!$AO$44:$AO$87,報告用!$E$44:$E$87,"",FALSE))</f>
        <v>25</v>
      </c>
    </row>
    <row r="129" spans="1:17" ht="15.95" customHeight="1">
      <c r="A129" s="180"/>
      <c r="B129" s="119">
        <f>_xlfn.XLOOKUP(ROW(B129)+1-ROW(B$120),報告用!$AM$44:$AM$87,報告用!$F$44:$F$87,"",FALSE)</f>
        <v>6</v>
      </c>
      <c r="C129" s="123" t="str">
        <f>_xlfn.XLOOKUP(ROW(C129)+1-ROW(C$120),報告用!$AM$44:$AM$87,報告用!$G$44:$G$87,"",FALSE)</f>
        <v>フジイロザスミコ</v>
      </c>
      <c r="D129" s="124" t="str">
        <f t="shared" si="23"/>
        <v>様</v>
      </c>
      <c r="E129" s="120" t="str">
        <f>IF(_xlfn.XLOOKUP(ROW(E129)+1-ROW(E$120),報告用!$AM$44:$AM$87,報告用!$E$44:$E$87,"",FALSE)=B129,"",_xlfn.XLOOKUP(ROW(E129)+1-ROW(E$120),報告用!$AM$44:$AM$87,報告用!$E$44:$E$87,"",FALSE))</f>
        <v/>
      </c>
      <c r="F129" s="110"/>
      <c r="G129" s="180"/>
      <c r="H129" s="119">
        <f>_xlfn.XLOOKUP(ROW(H129)+1-ROW(H$120),報告用!$AN$44:$AN$87,報告用!$F$44:$F$87,"",FALSE)</f>
        <v>6</v>
      </c>
      <c r="I129" s="123" t="str">
        <f>_xlfn.XLOOKUP(ROW(I129)+1-ROW(I$120),報告用!$AN$44:$AN$87,報告用!$G$44:$G$87,"",FALSE)</f>
        <v>フジイロザスミコ</v>
      </c>
      <c r="J129" s="124" t="str">
        <f t="shared" si="24"/>
        <v>様</v>
      </c>
      <c r="K129" s="120" t="str">
        <f>IF(_xlfn.XLOOKUP(ROW(K129)+1-ROW(K$120),報告用!$AN$44:$AN$87,報告用!$E$44:$E$87,"",FALSE)=H129,"",_xlfn.XLOOKUP(ROW(K129)+1-ROW(K$120),報告用!$AN$44:$AN$87,報告用!$E$44:$E$87,"",FALSE))</f>
        <v/>
      </c>
      <c r="L129" s="111"/>
      <c r="M129" s="180"/>
      <c r="N129" s="119">
        <f>_xlfn.XLOOKUP(ROW(N129)+1-ROW(N$120),報告用!$AO$44:$AO$87,報告用!$F$44:$F$87,"",FALSE)</f>
        <v>6</v>
      </c>
      <c r="O129" s="123" t="str">
        <f>_xlfn.XLOOKUP(ROW(O129)+1-ROW(O$120),報告用!$AO$44:$AO$87,報告用!$G$44:$G$87,"",FALSE)</f>
        <v>フジイロザスミコ</v>
      </c>
      <c r="P129" s="124" t="str">
        <f t="shared" si="25"/>
        <v>様</v>
      </c>
      <c r="Q129" s="120" t="str">
        <f>IF(_xlfn.XLOOKUP(ROW(Q129)+1-ROW(Q$120),報告用!$AO$44:$AO$87,報告用!$E$44:$E$87,"",FALSE)=N129,"",_xlfn.XLOOKUP(ROW(Q129)+1-ROW(Q$120),報告用!$AO$44:$AO$87,報告用!$E$44:$E$87,"",FALSE))</f>
        <v/>
      </c>
    </row>
    <row r="130" spans="1:17" ht="15.95" customHeight="1">
      <c r="A130" s="180"/>
      <c r="B130" s="119">
        <f>_xlfn.XLOOKUP(ROW(B130)+1-ROW(B$120),報告用!$AM$44:$AM$87,報告用!$F$44:$F$87,"",FALSE)</f>
        <v>6</v>
      </c>
      <c r="C130" s="123" t="str">
        <f>_xlfn.XLOOKUP(ROW(C130)+1-ROW(C$120),報告用!$AM$44:$AM$87,報告用!$G$44:$G$87,"",FALSE)</f>
        <v>一瀨　好恵</v>
      </c>
      <c r="D130" s="124" t="str">
        <f t="shared" si="23"/>
        <v>様</v>
      </c>
      <c r="E130" s="120">
        <f>IF(_xlfn.XLOOKUP(ROW(E130)+1-ROW(E$120),報告用!$AM$44:$AM$87,報告用!$E$44:$E$87,"",FALSE)=B130,"",_xlfn.XLOOKUP(ROW(E130)+1-ROW(E$120),報告用!$AM$44:$AM$87,報告用!$E$44:$E$87,"",FALSE))</f>
        <v>5</v>
      </c>
      <c r="F130" s="110"/>
      <c r="G130" s="180"/>
      <c r="H130" s="119">
        <f>_xlfn.XLOOKUP(ROW(H130)+1-ROW(H$120),報告用!$AN$44:$AN$87,報告用!$F$44:$F$87,"",FALSE)</f>
        <v>6</v>
      </c>
      <c r="I130" s="123" t="str">
        <f>_xlfn.XLOOKUP(ROW(I130)+1-ROW(I$120),報告用!$AN$44:$AN$87,報告用!$G$44:$G$87,"",FALSE)</f>
        <v>一瀨　好恵</v>
      </c>
      <c r="J130" s="124" t="str">
        <f t="shared" si="24"/>
        <v>様</v>
      </c>
      <c r="K130" s="120">
        <f>IF(_xlfn.XLOOKUP(ROW(K130)+1-ROW(K$120),報告用!$AN$44:$AN$87,報告用!$E$44:$E$87,"",FALSE)=H130,"",_xlfn.XLOOKUP(ROW(K130)+1-ROW(K$120),報告用!$AN$44:$AN$87,報告用!$E$44:$E$87,"",FALSE))</f>
        <v>5</v>
      </c>
      <c r="L130" s="111"/>
      <c r="M130" s="180"/>
      <c r="N130" s="119">
        <f>_xlfn.XLOOKUP(ROW(N130)+1-ROW(N$120),報告用!$AO$44:$AO$87,報告用!$F$44:$F$87,"",FALSE)</f>
        <v>6</v>
      </c>
      <c r="O130" s="123" t="str">
        <f>_xlfn.XLOOKUP(ROW(O130)+1-ROW(O$120),報告用!$AO$44:$AO$87,報告用!$G$44:$G$87,"",FALSE)</f>
        <v>一瀨　好恵</v>
      </c>
      <c r="P130" s="124" t="str">
        <f t="shared" si="25"/>
        <v>様</v>
      </c>
      <c r="Q130" s="120">
        <f>IF(_xlfn.XLOOKUP(ROW(Q130)+1-ROW(Q$120),報告用!$AO$44:$AO$87,報告用!$E$44:$E$87,"",FALSE)=N130,"",_xlfn.XLOOKUP(ROW(Q130)+1-ROW(Q$120),報告用!$AO$44:$AO$87,報告用!$E$44:$E$87,"",FALSE))</f>
        <v>5</v>
      </c>
    </row>
    <row r="131" spans="1:17" ht="15.95" customHeight="1">
      <c r="A131" s="180"/>
      <c r="B131" s="119">
        <f>_xlfn.XLOOKUP(ROW(B131)+1-ROW(B$120),報告用!$AM$44:$AM$87,報告用!$F$44:$F$87,"",FALSE)</f>
        <v>7</v>
      </c>
      <c r="C131" s="123" t="str">
        <f>_xlfn.XLOOKUP(ROW(C131)+1-ROW(C$120),報告用!$AM$44:$AM$87,報告用!$G$44:$G$87,"",FALSE)</f>
        <v>佐藤　光正</v>
      </c>
      <c r="D131" s="124" t="str">
        <f t="shared" si="23"/>
        <v>様</v>
      </c>
      <c r="E131" s="120" t="str">
        <f>IF(_xlfn.XLOOKUP(ROW(E131)+1-ROW(E$120),報告用!$AM$44:$AM$87,報告用!$E$44:$E$87,"",FALSE)=B131,"",_xlfn.XLOOKUP(ROW(E131)+1-ROW(E$120),報告用!$AM$44:$AM$87,報告用!$E$44:$E$87,"",FALSE))</f>
        <v/>
      </c>
      <c r="F131" s="110"/>
      <c r="G131" s="180"/>
      <c r="H131" s="119">
        <f>_xlfn.XLOOKUP(ROW(H131)+1-ROW(H$120),報告用!$AN$44:$AN$87,報告用!$F$44:$F$87,"",FALSE)</f>
        <v>7</v>
      </c>
      <c r="I131" s="123" t="str">
        <f>_xlfn.XLOOKUP(ROW(I131)+1-ROW(I$120),報告用!$AN$44:$AN$87,報告用!$G$44:$G$87,"",FALSE)</f>
        <v>佐藤　光正</v>
      </c>
      <c r="J131" s="124" t="str">
        <f t="shared" si="24"/>
        <v>様</v>
      </c>
      <c r="K131" s="120" t="str">
        <f>IF(_xlfn.XLOOKUP(ROW(K131)+1-ROW(K$120),報告用!$AN$44:$AN$87,報告用!$E$44:$E$87,"",FALSE)=H131,"",_xlfn.XLOOKUP(ROW(K131)+1-ROW(K$120),報告用!$AN$44:$AN$87,報告用!$E$44:$E$87,"",FALSE))</f>
        <v/>
      </c>
      <c r="L131" s="111"/>
      <c r="M131" s="180"/>
      <c r="N131" s="119">
        <f>_xlfn.XLOOKUP(ROW(N131)+1-ROW(N$120),報告用!$AO$44:$AO$87,報告用!$F$44:$F$87,"",FALSE)</f>
        <v>7</v>
      </c>
      <c r="O131" s="123" t="str">
        <f>_xlfn.XLOOKUP(ROW(O131)+1-ROW(O$120),報告用!$AO$44:$AO$87,報告用!$G$44:$G$87,"",FALSE)</f>
        <v>佐藤　光正</v>
      </c>
      <c r="P131" s="124" t="str">
        <f t="shared" si="25"/>
        <v>様</v>
      </c>
      <c r="Q131" s="120" t="str">
        <f>IF(_xlfn.XLOOKUP(ROW(Q131)+1-ROW(Q$120),報告用!$AO$44:$AO$87,報告用!$E$44:$E$87,"",FALSE)=N131,"",_xlfn.XLOOKUP(ROW(Q131)+1-ROW(Q$120),報告用!$AO$44:$AO$87,報告用!$E$44:$E$87,"",FALSE))</f>
        <v/>
      </c>
    </row>
    <row r="132" spans="1:17" ht="15.95" customHeight="1">
      <c r="A132" s="180"/>
      <c r="B132" s="119">
        <f>_xlfn.XLOOKUP(ROW(B132)+1-ROW(B$120),報告用!$AM$44:$AM$87,報告用!$F$44:$F$87,"",FALSE)</f>
        <v>7</v>
      </c>
      <c r="C132" s="123" t="str">
        <f>_xlfn.XLOOKUP(ROW(C132)+1-ROW(C$120),報告用!$AM$44:$AM$87,報告用!$G$44:$G$87,"",FALSE)</f>
        <v>水上　哲彌</v>
      </c>
      <c r="D132" s="124" t="str">
        <f t="shared" si="23"/>
        <v>様</v>
      </c>
      <c r="E132" s="120" t="str">
        <f>IF(_xlfn.XLOOKUP(ROW(E132)+1-ROW(E$120),報告用!$AM$44:$AM$87,報告用!$E$44:$E$87,"",FALSE)=B132,"",_xlfn.XLOOKUP(ROW(E132)+1-ROW(E$120),報告用!$AM$44:$AM$87,報告用!$E$44:$E$87,"",FALSE))</f>
        <v/>
      </c>
      <c r="F132" s="110"/>
      <c r="G132" s="180"/>
      <c r="H132" s="119">
        <f>_xlfn.XLOOKUP(ROW(H132)+1-ROW(H$120),報告用!$AN$44:$AN$87,報告用!$F$44:$F$87,"",FALSE)</f>
        <v>7</v>
      </c>
      <c r="I132" s="123" t="str">
        <f>_xlfn.XLOOKUP(ROW(I132)+1-ROW(I$120),報告用!$AN$44:$AN$87,報告用!$G$44:$G$87,"",FALSE)</f>
        <v>水上　哲彌</v>
      </c>
      <c r="J132" s="124" t="str">
        <f t="shared" si="24"/>
        <v>様</v>
      </c>
      <c r="K132" s="120" t="str">
        <f>IF(_xlfn.XLOOKUP(ROW(K132)+1-ROW(K$120),報告用!$AN$44:$AN$87,報告用!$E$44:$E$87,"",FALSE)=H132,"",_xlfn.XLOOKUP(ROW(K132)+1-ROW(K$120),報告用!$AN$44:$AN$87,報告用!$E$44:$E$87,"",FALSE))</f>
        <v/>
      </c>
      <c r="L132" s="111"/>
      <c r="M132" s="180"/>
      <c r="N132" s="119">
        <f>_xlfn.XLOOKUP(ROW(N132)+1-ROW(N$120),報告用!$AO$44:$AO$87,報告用!$F$44:$F$87,"",FALSE)</f>
        <v>7</v>
      </c>
      <c r="O132" s="123" t="str">
        <f>_xlfn.XLOOKUP(ROW(O132)+1-ROW(O$120),報告用!$AO$44:$AO$87,報告用!$G$44:$G$87,"",FALSE)</f>
        <v>水上　哲彌</v>
      </c>
      <c r="P132" s="124" t="str">
        <f t="shared" si="25"/>
        <v>様</v>
      </c>
      <c r="Q132" s="120" t="str">
        <f>IF(_xlfn.XLOOKUP(ROW(Q132)+1-ROW(Q$120),報告用!$AO$44:$AO$87,報告用!$E$44:$E$87,"",FALSE)=N132,"",_xlfn.XLOOKUP(ROW(Q132)+1-ROW(Q$120),報告用!$AO$44:$AO$87,報告用!$E$44:$E$87,"",FALSE))</f>
        <v/>
      </c>
    </row>
    <row r="133" spans="1:17" ht="15.95" customHeight="1">
      <c r="A133" s="180"/>
      <c r="B133" s="119">
        <f>_xlfn.XLOOKUP(ROW(B133)+1-ROW(B$120),報告用!$AM$44:$AM$87,報告用!$F$44:$F$87,"",FALSE)</f>
        <v>12</v>
      </c>
      <c r="C133" s="123" t="str">
        <f>_xlfn.XLOOKUP(ROW(C133)+1-ROW(C$120),報告用!$AM$44:$AM$87,報告用!$G$44:$G$87,"",FALSE)</f>
        <v>鴨下　恵美子</v>
      </c>
      <c r="D133" s="124" t="str">
        <f t="shared" si="23"/>
        <v>様</v>
      </c>
      <c r="E133" s="120">
        <f>IF(_xlfn.XLOOKUP(ROW(E133)+1-ROW(E$120),報告用!$AM$44:$AM$87,報告用!$E$44:$E$87,"",FALSE)=B133,"",_xlfn.XLOOKUP(ROW(E133)+1-ROW(E$120),報告用!$AM$44:$AM$87,報告用!$E$44:$E$87,"",FALSE))</f>
        <v>11</v>
      </c>
      <c r="F133" s="110"/>
      <c r="G133" s="180"/>
      <c r="H133" s="119">
        <f>_xlfn.XLOOKUP(ROW(H133)+1-ROW(H$120),報告用!$AN$44:$AN$87,報告用!$F$44:$F$87,"",FALSE)</f>
        <v>12</v>
      </c>
      <c r="I133" s="123" t="str">
        <f>_xlfn.XLOOKUP(ROW(I133)+1-ROW(I$120),報告用!$AN$44:$AN$87,報告用!$G$44:$G$87,"",FALSE)</f>
        <v>鴨下　恵美子</v>
      </c>
      <c r="J133" s="124" t="str">
        <f t="shared" si="24"/>
        <v>様</v>
      </c>
      <c r="K133" s="120">
        <f>IF(_xlfn.XLOOKUP(ROW(K133)+1-ROW(K$120),報告用!$AN$44:$AN$87,報告用!$E$44:$E$87,"",FALSE)=H133,"",_xlfn.XLOOKUP(ROW(K133)+1-ROW(K$120),報告用!$AN$44:$AN$87,報告用!$E$44:$E$87,"",FALSE))</f>
        <v>11</v>
      </c>
      <c r="L133" s="111"/>
      <c r="M133" s="180"/>
      <c r="N133" s="119">
        <f>_xlfn.XLOOKUP(ROW(N133)+1-ROW(N$120),報告用!$AO$44:$AO$87,報告用!$F$44:$F$87,"",FALSE)</f>
        <v>12</v>
      </c>
      <c r="O133" s="123" t="str">
        <f>_xlfn.XLOOKUP(ROW(O133)+1-ROW(O$120),報告用!$AO$44:$AO$87,報告用!$G$44:$G$87,"",FALSE)</f>
        <v>鴨下　恵美子</v>
      </c>
      <c r="P133" s="124" t="str">
        <f t="shared" si="25"/>
        <v>様</v>
      </c>
      <c r="Q133" s="120">
        <f>IF(_xlfn.XLOOKUP(ROW(Q133)+1-ROW(Q$120),報告用!$AO$44:$AO$87,報告用!$E$44:$E$87,"",FALSE)=N133,"",_xlfn.XLOOKUP(ROW(Q133)+1-ROW(Q$120),報告用!$AO$44:$AO$87,報告用!$E$44:$E$87,"",FALSE))</f>
        <v>11</v>
      </c>
    </row>
    <row r="134" spans="1:17" ht="15.95" customHeight="1">
      <c r="A134" s="180"/>
      <c r="B134" s="119">
        <f>_xlfn.XLOOKUP(ROW(B134)+1-ROW(B$120),報告用!$AM$44:$AM$87,報告用!$F$44:$F$87,"",FALSE)</f>
        <v>12</v>
      </c>
      <c r="C134" s="123" t="str">
        <f>_xlfn.XLOOKUP(ROW(C134)+1-ROW(C$120),報告用!$AM$44:$AM$87,報告用!$G$44:$G$87,"",FALSE)</f>
        <v>深水　洋子</v>
      </c>
      <c r="D134" s="124" t="str">
        <f t="shared" si="23"/>
        <v>様</v>
      </c>
      <c r="E134" s="120" t="str">
        <f>IF(_xlfn.XLOOKUP(ROW(E134)+1-ROW(E$120),報告用!$AM$44:$AM$87,報告用!$E$44:$E$87,"",FALSE)=B134,"",_xlfn.XLOOKUP(ROW(E134)+1-ROW(E$120),報告用!$AM$44:$AM$87,報告用!$E$44:$E$87,"",FALSE))</f>
        <v/>
      </c>
      <c r="F134" s="110"/>
      <c r="G134" s="180"/>
      <c r="H134" s="119">
        <f>_xlfn.XLOOKUP(ROW(H134)+1-ROW(H$120),報告用!$AN$44:$AN$87,報告用!$F$44:$F$87,"",FALSE)</f>
        <v>12</v>
      </c>
      <c r="I134" s="123" t="str">
        <f>_xlfn.XLOOKUP(ROW(I134)+1-ROW(I$120),報告用!$AN$44:$AN$87,報告用!$G$44:$G$87,"",FALSE)</f>
        <v>深水　洋子</v>
      </c>
      <c r="J134" s="124" t="str">
        <f t="shared" si="24"/>
        <v>様</v>
      </c>
      <c r="K134" s="120" t="str">
        <f>IF(_xlfn.XLOOKUP(ROW(K134)+1-ROW(K$120),報告用!$AN$44:$AN$87,報告用!$E$44:$E$87,"",FALSE)=H134,"",_xlfn.XLOOKUP(ROW(K134)+1-ROW(K$120),報告用!$AN$44:$AN$87,報告用!$E$44:$E$87,"",FALSE))</f>
        <v/>
      </c>
      <c r="L134" s="111"/>
      <c r="M134" s="180"/>
      <c r="N134" s="119">
        <f>_xlfn.XLOOKUP(ROW(N134)+1-ROW(N$120),報告用!$AO$44:$AO$87,報告用!$F$44:$F$87,"",FALSE)</f>
        <v>12</v>
      </c>
      <c r="O134" s="123" t="str">
        <f>_xlfn.XLOOKUP(ROW(O134)+1-ROW(O$120),報告用!$AO$44:$AO$87,報告用!$G$44:$G$87,"",FALSE)</f>
        <v>深水　洋子</v>
      </c>
      <c r="P134" s="124" t="str">
        <f t="shared" si="25"/>
        <v>様</v>
      </c>
      <c r="Q134" s="120" t="str">
        <f>IF(_xlfn.XLOOKUP(ROW(Q134)+1-ROW(Q$120),報告用!$AO$44:$AO$87,報告用!$E$44:$E$87,"",FALSE)=N134,"",_xlfn.XLOOKUP(ROW(Q134)+1-ROW(Q$120),報告用!$AO$44:$AO$87,報告用!$E$44:$E$87,"",FALSE))</f>
        <v/>
      </c>
    </row>
    <row r="135" spans="1:17" ht="15.95" customHeight="1">
      <c r="A135" s="180"/>
      <c r="B135" s="119">
        <f>_xlfn.XLOOKUP(ROW(B135)+1-ROW(B$120),報告用!$AM$44:$AM$87,報告用!$F$44:$F$87,"",FALSE)</f>
        <v>12</v>
      </c>
      <c r="C135" s="123" t="str">
        <f>_xlfn.XLOOKUP(ROW(C135)+1-ROW(C$120),報告用!$AM$44:$AM$87,報告用!$G$44:$G$87,"",FALSE)</f>
        <v>末木　志ん</v>
      </c>
      <c r="D135" s="124" t="str">
        <f t="shared" si="23"/>
        <v>様</v>
      </c>
      <c r="E135" s="120">
        <f>IF(_xlfn.XLOOKUP(ROW(E135)+1-ROW(E$120),報告用!$AM$44:$AM$87,報告用!$E$44:$E$87,"",FALSE)=B135,"",_xlfn.XLOOKUP(ROW(E135)+1-ROW(E$120),報告用!$AM$44:$AM$87,報告用!$E$44:$E$87,"",FALSE))</f>
        <v>22</v>
      </c>
      <c r="F135" s="110"/>
      <c r="G135" s="180"/>
      <c r="H135" s="119">
        <f>_xlfn.XLOOKUP(ROW(H135)+1-ROW(H$120),報告用!$AN$44:$AN$87,報告用!$F$44:$F$87,"",FALSE)</f>
        <v>12</v>
      </c>
      <c r="I135" s="123" t="str">
        <f>_xlfn.XLOOKUP(ROW(I135)+1-ROW(I$120),報告用!$AN$44:$AN$87,報告用!$G$44:$G$87,"",FALSE)</f>
        <v>馬塲 日出子</v>
      </c>
      <c r="J135" s="124" t="str">
        <f t="shared" si="24"/>
        <v>様</v>
      </c>
      <c r="K135" s="120" t="str">
        <f>IF(_xlfn.XLOOKUP(ROW(K135)+1-ROW(K$120),報告用!$AN$44:$AN$87,報告用!$E$44:$E$87,"",FALSE)=H135,"",_xlfn.XLOOKUP(ROW(K135)+1-ROW(K$120),報告用!$AN$44:$AN$87,報告用!$E$44:$E$87,"",FALSE))</f>
        <v/>
      </c>
      <c r="L135" s="111"/>
      <c r="M135" s="180"/>
      <c r="N135" s="119">
        <f>_xlfn.XLOOKUP(ROW(N135)+1-ROW(N$120),報告用!$AO$44:$AO$87,報告用!$F$44:$F$87,"",FALSE)</f>
        <v>12</v>
      </c>
      <c r="O135" s="123" t="str">
        <f>_xlfn.XLOOKUP(ROW(O135)+1-ROW(O$120),報告用!$AO$44:$AO$87,報告用!$G$44:$G$87,"",FALSE)</f>
        <v>末木　志ん</v>
      </c>
      <c r="P135" s="124" t="str">
        <f t="shared" si="25"/>
        <v>様</v>
      </c>
      <c r="Q135" s="120">
        <f>IF(_xlfn.XLOOKUP(ROW(Q135)+1-ROW(Q$120),報告用!$AO$44:$AO$87,報告用!$E$44:$E$87,"",FALSE)=N135,"",_xlfn.XLOOKUP(ROW(Q135)+1-ROW(Q$120),報告用!$AO$44:$AO$87,報告用!$E$44:$E$87,"",FALSE))</f>
        <v>22</v>
      </c>
    </row>
    <row r="136" spans="1:17" ht="15.95" customHeight="1" thickBot="1">
      <c r="A136" s="181"/>
      <c r="B136" s="132" t="str">
        <f>_xlfn.XLOOKUP(ROW(B136)+1-ROW(B$120),報告用!$AM$44:$AM$87,報告用!$F$44:$F$87,"",FALSE)</f>
        <v/>
      </c>
      <c r="C136" s="133" t="str">
        <f>_xlfn.XLOOKUP(ROW(C136)+1-ROW(C$120),報告用!$AM$44:$AM$87,報告用!$G$44:$G$87,"",FALSE)</f>
        <v/>
      </c>
      <c r="D136" s="134" t="str">
        <f t="shared" si="23"/>
        <v/>
      </c>
      <c r="E136" s="135" t="str">
        <f>IF(_xlfn.XLOOKUP(ROW(E136)+1-ROW(E$120),報告用!$AM$44:$AM$87,報告用!$E$44:$E$87,"",FALSE)=B136,"",_xlfn.XLOOKUP(ROW(E136)+1-ROW(E$120),報告用!$AM$44:$AM$87,報告用!$E$44:$E$87,"",FALSE))</f>
        <v/>
      </c>
      <c r="F136" s="110"/>
      <c r="G136" s="181"/>
      <c r="H136" s="132" t="str">
        <f>_xlfn.XLOOKUP(ROW(H136)+1-ROW(H$120),報告用!$AN$44:$AN$87,報告用!$F$44:$F$87,"",FALSE)</f>
        <v/>
      </c>
      <c r="I136" s="133" t="str">
        <f>_xlfn.XLOOKUP(ROW(I136)+1-ROW(I$120),報告用!$AN$44:$AN$87,報告用!$G$44:$G$87,"",FALSE)</f>
        <v/>
      </c>
      <c r="J136" s="134" t="str">
        <f t="shared" si="24"/>
        <v/>
      </c>
      <c r="K136" s="135" t="str">
        <f>IF(_xlfn.XLOOKUP(ROW(K136)+1-ROW(K$120),報告用!$AN$44:$AN$87,報告用!$E$44:$E$87,"",FALSE)=H136,"",_xlfn.XLOOKUP(ROW(K136)+1-ROW(K$120),報告用!$AN$44:$AN$87,報告用!$E$44:$E$87,"",FALSE))</f>
        <v/>
      </c>
      <c r="L136" s="111"/>
      <c r="M136" s="181"/>
      <c r="N136" s="132" t="str">
        <f>_xlfn.XLOOKUP(ROW(N136)+1-ROW(N$120),報告用!$AO$44:$AO$87,報告用!$F$44:$F$87,"",FALSE)</f>
        <v/>
      </c>
      <c r="O136" s="133" t="str">
        <f>_xlfn.XLOOKUP(ROW(O136)+1-ROW(O$120),報告用!$AO$44:$AO$87,報告用!$G$44:$G$87,"",FALSE)</f>
        <v/>
      </c>
      <c r="P136" s="134" t="str">
        <f t="shared" si="25"/>
        <v/>
      </c>
      <c r="Q136" s="135" t="str">
        <f>IF(_xlfn.XLOOKUP(ROW(Q136)+1-ROW(Q$120),報告用!$AO$44:$AO$87,報告用!$E$44:$E$87,"",FALSE)=N136,"",_xlfn.XLOOKUP(ROW(Q136)+1-ROW(Q$120),報告用!$AO$44:$AO$87,報告用!$E$44:$E$87,"",FALSE))</f>
        <v/>
      </c>
    </row>
  </sheetData>
  <mergeCells count="74">
    <mergeCell ref="M5:M17"/>
    <mergeCell ref="G103:K104"/>
    <mergeCell ref="M18:M34"/>
    <mergeCell ref="A104:E104"/>
    <mergeCell ref="M104:Q104"/>
    <mergeCell ref="A5:A21"/>
    <mergeCell ref="A30:A34"/>
    <mergeCell ref="G35:K36"/>
    <mergeCell ref="A36:E36"/>
    <mergeCell ref="A39:A51"/>
    <mergeCell ref="G39:G51"/>
    <mergeCell ref="M39:M51"/>
    <mergeCell ref="M37:M38"/>
    <mergeCell ref="G52:G68"/>
    <mergeCell ref="M52:M68"/>
    <mergeCell ref="I38:J38"/>
    <mergeCell ref="M36:Q36"/>
    <mergeCell ref="N37:Q37"/>
    <mergeCell ref="C38:D38"/>
    <mergeCell ref="O72:P72"/>
    <mergeCell ref="G86:G102"/>
    <mergeCell ref="M86:M102"/>
    <mergeCell ref="O38:P38"/>
    <mergeCell ref="B37:E37"/>
    <mergeCell ref="A22:A29"/>
    <mergeCell ref="G18:G34"/>
    <mergeCell ref="G69:K70"/>
    <mergeCell ref="A70:E70"/>
    <mergeCell ref="G37:G38"/>
    <mergeCell ref="H37:K37"/>
    <mergeCell ref="A52:A68"/>
    <mergeCell ref="A37:A38"/>
    <mergeCell ref="A90:A97"/>
    <mergeCell ref="A98:A102"/>
    <mergeCell ref="G73:G85"/>
    <mergeCell ref="M73:M85"/>
    <mergeCell ref="A71:A72"/>
    <mergeCell ref="B71:E71"/>
    <mergeCell ref="G71:G72"/>
    <mergeCell ref="H71:K71"/>
    <mergeCell ref="M71:M72"/>
    <mergeCell ref="A73:A89"/>
    <mergeCell ref="I72:J72"/>
    <mergeCell ref="N71:Q71"/>
    <mergeCell ref="C72:D72"/>
    <mergeCell ref="G5:G17"/>
    <mergeCell ref="G1:K2"/>
    <mergeCell ref="A2:E2"/>
    <mergeCell ref="M2:Q2"/>
    <mergeCell ref="A3:A4"/>
    <mergeCell ref="B3:E3"/>
    <mergeCell ref="G3:G4"/>
    <mergeCell ref="H3:K3"/>
    <mergeCell ref="M3:M4"/>
    <mergeCell ref="N3:Q3"/>
    <mergeCell ref="C4:D4"/>
    <mergeCell ref="I4:J4"/>
    <mergeCell ref="O4:P4"/>
    <mergeCell ref="M70:Q70"/>
    <mergeCell ref="A120:A136"/>
    <mergeCell ref="G120:G136"/>
    <mergeCell ref="M120:M136"/>
    <mergeCell ref="N105:Q105"/>
    <mergeCell ref="C106:D106"/>
    <mergeCell ref="I106:J106"/>
    <mergeCell ref="O106:P106"/>
    <mergeCell ref="A105:A106"/>
    <mergeCell ref="B105:E105"/>
    <mergeCell ref="G105:G106"/>
    <mergeCell ref="H105:K105"/>
    <mergeCell ref="M105:M106"/>
    <mergeCell ref="A107:A119"/>
    <mergeCell ref="G107:G119"/>
    <mergeCell ref="M107:M119"/>
  </mergeCells>
  <phoneticPr fontId="1"/>
  <pageMargins left="0.23622047244094491" right="0.23622047244094491" top="0.55118110236220474" bottom="0.35433070866141736" header="0.31496062992125984" footer="0.31496062992125984"/>
  <pageSetup paperSize="9" scale="99" fitToHeight="0" orientation="landscape" r:id="rId1"/>
  <rowBreaks count="1" manualBreakCount="1">
    <brk id="3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17E77-7FAD-4D5F-B2DE-A971B07C073B}">
  <dimension ref="A1:Q108"/>
  <sheetViews>
    <sheetView workbookViewId="0">
      <selection activeCell="O49" sqref="O49"/>
    </sheetView>
  </sheetViews>
  <sheetFormatPr defaultRowHeight="24"/>
  <cols>
    <col min="1" max="2" width="6.625" style="76" customWidth="1"/>
    <col min="3" max="3" width="18.625" style="76" customWidth="1"/>
    <col min="4" max="4" width="4.125" style="76" bestFit="1" customWidth="1"/>
    <col min="5" max="5" width="6.625" style="76" customWidth="1"/>
    <col min="6" max="6" width="1.625" style="76" customWidth="1"/>
    <col min="7" max="8" width="6.625" style="76" customWidth="1"/>
    <col min="9" max="9" width="18.625" style="76" customWidth="1"/>
    <col min="10" max="10" width="4.125" style="76" bestFit="1" customWidth="1"/>
    <col min="11" max="11" width="6.625" style="76" customWidth="1"/>
    <col min="12" max="12" width="1.625" style="76" customWidth="1"/>
    <col min="13" max="14" width="6.625" style="76" customWidth="1"/>
    <col min="15" max="15" width="18.625" style="76" customWidth="1"/>
    <col min="16" max="16" width="4.125" style="76" bestFit="1" customWidth="1"/>
    <col min="17" max="17" width="6.625" style="76" customWidth="1"/>
    <col min="18" max="16384" width="9" style="1"/>
  </cols>
  <sheetData>
    <row r="1" spans="1:17" ht="19.5" customHeight="1">
      <c r="A1" s="110"/>
      <c r="B1" s="110"/>
      <c r="C1" s="110"/>
      <c r="D1" s="110"/>
      <c r="E1" s="110"/>
      <c r="F1" s="110"/>
      <c r="G1" s="192" t="s">
        <v>40</v>
      </c>
      <c r="H1" s="192"/>
      <c r="I1" s="192"/>
      <c r="J1" s="192"/>
      <c r="K1" s="192"/>
      <c r="L1" s="110"/>
      <c r="M1" s="110"/>
      <c r="N1" s="110"/>
      <c r="O1" s="110"/>
      <c r="P1" s="110"/>
      <c r="Q1" s="110"/>
    </row>
    <row r="2" spans="1:17" ht="19.5" customHeight="1" thickBot="1">
      <c r="A2" s="193" t="s">
        <v>50</v>
      </c>
      <c r="B2" s="193"/>
      <c r="C2" s="193"/>
      <c r="D2" s="193"/>
      <c r="E2" s="193"/>
      <c r="F2" s="110"/>
      <c r="G2" s="192"/>
      <c r="H2" s="192"/>
      <c r="I2" s="192"/>
      <c r="J2" s="192"/>
      <c r="K2" s="192"/>
      <c r="L2" s="110"/>
      <c r="M2" s="194">
        <f>報告用!$O$2</f>
        <v>46106</v>
      </c>
      <c r="N2" s="194"/>
      <c r="O2" s="194"/>
      <c r="P2" s="194"/>
      <c r="Q2" s="194"/>
    </row>
    <row r="3" spans="1:17" ht="19.5" customHeight="1">
      <c r="A3" s="186" t="s">
        <v>31</v>
      </c>
      <c r="B3" s="182" t="s">
        <v>36</v>
      </c>
      <c r="C3" s="182"/>
      <c r="D3" s="182"/>
      <c r="E3" s="183"/>
      <c r="F3" s="110"/>
      <c r="G3" s="186" t="s">
        <v>31</v>
      </c>
      <c r="H3" s="182" t="s">
        <v>9</v>
      </c>
      <c r="I3" s="182"/>
      <c r="J3" s="182"/>
      <c r="K3" s="183"/>
      <c r="L3" s="111"/>
      <c r="M3" s="186" t="s">
        <v>31</v>
      </c>
      <c r="N3" s="182" t="s">
        <v>10</v>
      </c>
      <c r="O3" s="182"/>
      <c r="P3" s="182"/>
      <c r="Q3" s="183"/>
    </row>
    <row r="4" spans="1:17" ht="19.5" customHeight="1" thickBot="1">
      <c r="A4" s="187"/>
      <c r="B4" s="112" t="s">
        <v>18</v>
      </c>
      <c r="C4" s="184" t="s">
        <v>17</v>
      </c>
      <c r="D4" s="185"/>
      <c r="E4" s="114" t="s">
        <v>30</v>
      </c>
      <c r="F4" s="110"/>
      <c r="G4" s="187"/>
      <c r="H4" s="112" t="s">
        <v>18</v>
      </c>
      <c r="I4" s="184" t="s">
        <v>17</v>
      </c>
      <c r="J4" s="185"/>
      <c r="K4" s="114" t="s">
        <v>30</v>
      </c>
      <c r="L4" s="111"/>
      <c r="M4" s="187"/>
      <c r="N4" s="112" t="s">
        <v>18</v>
      </c>
      <c r="O4" s="184" t="s">
        <v>17</v>
      </c>
      <c r="P4" s="185"/>
      <c r="Q4" s="114" t="s">
        <v>30</v>
      </c>
    </row>
    <row r="5" spans="1:17" ht="19.5" customHeight="1" thickTop="1">
      <c r="A5" s="201" t="s">
        <v>32</v>
      </c>
      <c r="B5" s="49">
        <f>_xlfn.XLOOKUP(ROW(B5)+1-ROW(B$5),報告用!$AC$4:$AC$39,報告用!F$4:F$39,"",FALSE)</f>
        <v>18</v>
      </c>
      <c r="C5" s="48" t="str">
        <f>_xlfn.XLOOKUP(ROW(C5)+1-ROW(C$5),報告用!$AC$4:$AC$39,報告用!G$4:G$39,"",FALSE)</f>
        <v>吉井　用子</v>
      </c>
      <c r="D5" s="122" t="str">
        <f>IF(C5="","","様")</f>
        <v>様</v>
      </c>
      <c r="E5" s="50" t="str">
        <f>IF(_xlfn.XLOOKUP(ROW(E5)+1-ROW(E$5),報告用!$AC$4:$AC$39,報告用!E$4:E$39,"",FALSE)=B5,"",_xlfn.XLOOKUP(ROW(E5)+1-ROW(E$5),報告用!$AC$4:$AC$39,報告用!E$4:E$39,"",FALSE))</f>
        <v/>
      </c>
      <c r="F5" s="110"/>
      <c r="G5" s="201" t="s">
        <v>35</v>
      </c>
      <c r="H5" s="49">
        <f>_xlfn.XLOOKUP(ROW(H5)+1-ROW(H$5),報告用!$AF$4:$AF$39,報告用!$F$4:$F$39,"",FALSE)</f>
        <v>15</v>
      </c>
      <c r="I5" s="48" t="str">
        <f>_xlfn.XLOOKUP(ROW(I5)+1-ROW(I$5),報告用!$AF$4:$AF$39,報告用!$G$4:$G$39,"",FALSE)</f>
        <v>志村とも子</v>
      </c>
      <c r="J5" s="122" t="str">
        <f>IF(I5="","","様")</f>
        <v>様</v>
      </c>
      <c r="K5" s="50" t="str">
        <f>IF(_xlfn.XLOOKUP(ROW(K5)+1-ROW(K$5),報告用!$AF$4:$AF$39,報告用!$E$4:$E$39,"",FALSE)=H5,"",_xlfn.XLOOKUP(ROW(K5)+1-ROW(K$5),報告用!$AF$4:$AF$39,報告用!$E$4:$E$39,"",FALSE))</f>
        <v/>
      </c>
      <c r="L5" s="111"/>
      <c r="M5" s="201" t="s">
        <v>35</v>
      </c>
      <c r="N5" s="49">
        <f>_xlfn.XLOOKUP(ROW(N5)+1-ROW(N$5),報告用!$AG$4:$AG$39,報告用!$F$4:$F$39,"",FALSE)</f>
        <v>15</v>
      </c>
      <c r="O5" s="48" t="str">
        <f>_xlfn.XLOOKUP(ROW(O5)+1-ROW(O$5),報告用!$AG$4:$AG$39,報告用!$G$4:$G$39,"",FALSE)</f>
        <v>志村とも子</v>
      </c>
      <c r="P5" s="122" t="str">
        <f t="shared" ref="P5:P12" si="0">IF(O5="","","様")</f>
        <v>様</v>
      </c>
      <c r="Q5" s="50" t="str">
        <f>IF(_xlfn.XLOOKUP(ROW(Q5)+1-ROW(Q$5),報告用!$AG$4:$AG$39,報告用!$E$4:$E$39,"",FALSE)=N5,"",_xlfn.XLOOKUP(ROW(Q5)+1-ROW(Q$5),報告用!$AG$4:$AG$39,報告用!$E$4:$E$39,"",FALSE))</f>
        <v/>
      </c>
    </row>
    <row r="6" spans="1:17" ht="19.5" customHeight="1">
      <c r="A6" s="180"/>
      <c r="B6" s="46">
        <f>_xlfn.XLOOKUP(ROW(B6)+1-ROW(B$5),報告用!$AC$4:$AC$39,報告用!F$4:F$39,"",FALSE)</f>
        <v>20</v>
      </c>
      <c r="C6" s="54" t="str">
        <f>_xlfn.XLOOKUP(ROW(C6)+1-ROW(C$5),報告用!$AC$4:$AC$39,報告用!G$4:G$39,"",FALSE)</f>
        <v>★上條　礼子</v>
      </c>
      <c r="D6" s="130" t="str">
        <f t="shared" ref="D6:D16" si="1">IF(C6="","","様")</f>
        <v>様</v>
      </c>
      <c r="E6" s="47" t="str">
        <f>IF(_xlfn.XLOOKUP(ROW(E6)+1-ROW(E$5),報告用!$AC$4:$AC$39,報告用!E$4:E$39,"",FALSE)=B6,"",_xlfn.XLOOKUP(ROW(E6)+1-ROW(E$5),報告用!$AC$4:$AC$39,報告用!E$4:E$39,"",FALSE))</f>
        <v/>
      </c>
      <c r="F6" s="110"/>
      <c r="G6" s="180"/>
      <c r="H6" s="170">
        <f>_xlfn.XLOOKUP(ROW(H6)+1-ROW(H$5),報告用!$AF$4:$AF$39,報告用!$F$4:$F$39,"",FALSE)</f>
        <v>15</v>
      </c>
      <c r="I6" s="140" t="str">
        <f>_xlfn.XLOOKUP(ROW(I6)+1-ROW(I$5),報告用!$AF$4:$AF$39,報告用!$G$4:$G$39,"",FALSE)</f>
        <v>飯室　純江</v>
      </c>
      <c r="J6" s="124" t="str">
        <f t="shared" ref="J6:J12" si="2">IF(I6="","","様")</f>
        <v>様</v>
      </c>
      <c r="K6" s="55" t="str">
        <f>IF(_xlfn.XLOOKUP(ROW(K6)+1-ROW(K$5),報告用!$AF$4:$AF$39,報告用!$E$4:$E$39,"",FALSE)=H6,"",_xlfn.XLOOKUP(ROW(K6)+1-ROW(K$5),報告用!$AF$4:$AF$39,報告用!$E$4:$E$39,"",FALSE))</f>
        <v/>
      </c>
      <c r="L6" s="111"/>
      <c r="M6" s="180"/>
      <c r="N6" s="170">
        <f>_xlfn.XLOOKUP(ROW(N6)+1-ROW(N$5),報告用!$AG$4:$AG$39,報告用!$F$4:$F$39,"",FALSE)</f>
        <v>15</v>
      </c>
      <c r="O6" s="140" t="str">
        <f>_xlfn.XLOOKUP(ROW(O6)+1-ROW(O$5),報告用!$AG$4:$AG$39,報告用!$G$4:$G$39,"",FALSE)</f>
        <v>望月　美希</v>
      </c>
      <c r="P6" s="124" t="str">
        <f t="shared" si="0"/>
        <v>様</v>
      </c>
      <c r="Q6" s="55" t="str">
        <f>IF(_xlfn.XLOOKUP(ROW(Q6)+1-ROW(Q$5),報告用!$AG$4:$AG$39,報告用!$E$4:$E$39,"",FALSE)=N6,"",_xlfn.XLOOKUP(ROW(Q6)+1-ROW(Q$5),報告用!$AG$4:$AG$39,報告用!$E$4:$E$39,"",FALSE))</f>
        <v/>
      </c>
    </row>
    <row r="7" spans="1:17" ht="19.5" customHeight="1">
      <c r="A7" s="180"/>
      <c r="B7" s="46" t="str">
        <f>_xlfn.XLOOKUP(ROW(B7)+1-ROW(B$5),報告用!$AC$4:$AC$39,報告用!F$4:F$39,"",FALSE)</f>
        <v/>
      </c>
      <c r="C7" s="54" t="str">
        <f>_xlfn.XLOOKUP(ROW(C7)+1-ROW(C$5),報告用!$AC$4:$AC$39,報告用!G$4:G$39,"",FALSE)</f>
        <v/>
      </c>
      <c r="D7" s="130" t="str">
        <f t="shared" si="1"/>
        <v/>
      </c>
      <c r="E7" s="47" t="str">
        <f>IF(_xlfn.XLOOKUP(ROW(E7)+1-ROW(E$5),報告用!$AC$4:$AC$39,報告用!E$4:E$39,"",FALSE)=B7,"",_xlfn.XLOOKUP(ROW(E7)+1-ROW(E$5),報告用!$AC$4:$AC$39,報告用!E$4:E$39,"",FALSE))</f>
        <v/>
      </c>
      <c r="F7" s="110"/>
      <c r="G7" s="180"/>
      <c r="H7" s="170">
        <f>_xlfn.XLOOKUP(ROW(H7)+1-ROW(H$5),報告用!$AF$4:$AF$39,報告用!$F$4:$F$39,"",FALSE)</f>
        <v>16</v>
      </c>
      <c r="I7" s="140" t="str">
        <f>_xlfn.XLOOKUP(ROW(I7)+1-ROW(I$5),報告用!$AF$4:$AF$39,報告用!$G$4:$G$39,"",FALSE)</f>
        <v>里吉　松子</v>
      </c>
      <c r="J7" s="124" t="str">
        <f t="shared" si="2"/>
        <v>様</v>
      </c>
      <c r="K7" s="55" t="str">
        <f>IF(_xlfn.XLOOKUP(ROW(K7)+1-ROW(K$5),報告用!$AF$4:$AF$39,報告用!$E$4:$E$39,"",FALSE)=H7,"",_xlfn.XLOOKUP(ROW(K7)+1-ROW(K$5),報告用!$AF$4:$AF$39,報告用!$E$4:$E$39,"",FALSE))</f>
        <v/>
      </c>
      <c r="L7" s="111"/>
      <c r="M7" s="180"/>
      <c r="N7" s="170">
        <f>_xlfn.XLOOKUP(ROW(N7)+1-ROW(N$5),報告用!$AG$4:$AG$39,報告用!$F$4:$F$39,"",FALSE)</f>
        <v>16</v>
      </c>
      <c r="O7" s="140" t="str">
        <f>_xlfn.XLOOKUP(ROW(O7)+1-ROW(O$5),報告用!$AG$4:$AG$39,報告用!$G$4:$G$39,"",FALSE)</f>
        <v>里吉　松子</v>
      </c>
      <c r="P7" s="124" t="str">
        <f t="shared" si="0"/>
        <v>様</v>
      </c>
      <c r="Q7" s="55" t="str">
        <f>IF(_xlfn.XLOOKUP(ROW(Q7)+1-ROW(Q$5),報告用!$AG$4:$AG$39,報告用!$E$4:$E$39,"",FALSE)=N7,"",_xlfn.XLOOKUP(ROW(Q7)+1-ROW(Q$5),報告用!$AG$4:$AG$39,報告用!$E$4:$E$39,"",FALSE))</f>
        <v/>
      </c>
    </row>
    <row r="8" spans="1:17" ht="19.5" customHeight="1">
      <c r="A8" s="180"/>
      <c r="B8" s="46" t="str">
        <f>_xlfn.XLOOKUP(ROW(B8)+1-ROW(B$5),報告用!$AC$4:$AC$39,報告用!F$4:F$39,"",FALSE)</f>
        <v/>
      </c>
      <c r="C8" s="54" t="str">
        <f>_xlfn.XLOOKUP(ROW(C8)+1-ROW(C$5),報告用!$AC$4:$AC$39,報告用!G$4:G$39,"",FALSE)</f>
        <v/>
      </c>
      <c r="D8" s="130" t="str">
        <f t="shared" si="1"/>
        <v/>
      </c>
      <c r="E8" s="47" t="str">
        <f>IF(_xlfn.XLOOKUP(ROW(E8)+1-ROW(E$5),報告用!$AC$4:$AC$39,報告用!E$4:E$39,"",FALSE)=B8,"",_xlfn.XLOOKUP(ROW(E8)+1-ROW(E$5),報告用!$AC$4:$AC$39,報告用!E$4:E$39,"",FALSE))</f>
        <v/>
      </c>
      <c r="F8" s="110"/>
      <c r="G8" s="180"/>
      <c r="H8" s="170">
        <f>_xlfn.XLOOKUP(ROW(H8)+1-ROW(H$5),報告用!$AF$4:$AF$39,報告用!$F$4:$F$39,"",FALSE)</f>
        <v>16</v>
      </c>
      <c r="I8" s="140" t="str">
        <f>_xlfn.XLOOKUP(ROW(I8)+1-ROW(I$5),報告用!$AF$4:$AF$39,報告用!$G$4:$G$39,"",FALSE)</f>
        <v>森　たい子</v>
      </c>
      <c r="J8" s="124" t="str">
        <f t="shared" si="2"/>
        <v>様</v>
      </c>
      <c r="K8" s="55" t="str">
        <f>IF(_xlfn.XLOOKUP(ROW(K8)+1-ROW(K$5),報告用!$AF$4:$AF$39,報告用!$E$4:$E$39,"",FALSE)=H8,"",_xlfn.XLOOKUP(ROW(K8)+1-ROW(K$5),報告用!$AF$4:$AF$39,報告用!$E$4:$E$39,"",FALSE))</f>
        <v/>
      </c>
      <c r="L8" s="111"/>
      <c r="M8" s="180"/>
      <c r="N8" s="170">
        <f>_xlfn.XLOOKUP(ROW(N8)+1-ROW(N$5),報告用!$AG$4:$AG$39,報告用!$F$4:$F$39,"",FALSE)</f>
        <v>16</v>
      </c>
      <c r="O8" s="140" t="str">
        <f>_xlfn.XLOOKUP(ROW(O8)+1-ROW(O$5),報告用!$AG$4:$AG$39,報告用!$G$4:$G$39,"",FALSE)</f>
        <v>森　たい子</v>
      </c>
      <c r="P8" s="124" t="str">
        <f t="shared" si="0"/>
        <v>様</v>
      </c>
      <c r="Q8" s="55" t="str">
        <f>IF(_xlfn.XLOOKUP(ROW(Q8)+1-ROW(Q$5),報告用!$AG$4:$AG$39,報告用!$E$4:$E$39,"",FALSE)=N8,"",_xlfn.XLOOKUP(ROW(Q8)+1-ROW(Q$5),報告用!$AG$4:$AG$39,報告用!$E$4:$E$39,"",FALSE))</f>
        <v/>
      </c>
    </row>
    <row r="9" spans="1:17" ht="19.5" customHeight="1">
      <c r="A9" s="180"/>
      <c r="B9" s="46" t="str">
        <f>_xlfn.XLOOKUP(ROW(B9)+1-ROW(B$5),報告用!$AC$4:$AC$39,報告用!F$4:F$39,"",FALSE)</f>
        <v/>
      </c>
      <c r="C9" s="54" t="str">
        <f>_xlfn.XLOOKUP(ROW(C9)+1-ROW(C$5),報告用!$AC$4:$AC$39,報告用!G$4:G$39,"",FALSE)</f>
        <v/>
      </c>
      <c r="D9" s="130" t="str">
        <f t="shared" si="1"/>
        <v/>
      </c>
      <c r="E9" s="47" t="str">
        <f>IF(_xlfn.XLOOKUP(ROW(E9)+1-ROW(E$5),報告用!$AC$4:$AC$39,報告用!E$4:E$39,"",FALSE)=B9,"",_xlfn.XLOOKUP(ROW(E9)+1-ROW(E$5),報告用!$AC$4:$AC$39,報告用!E$4:E$39,"",FALSE))</f>
        <v/>
      </c>
      <c r="F9" s="110"/>
      <c r="G9" s="180"/>
      <c r="H9" s="170">
        <f>_xlfn.XLOOKUP(ROW(H9)+1-ROW(H$5),報告用!$AF$4:$AF$39,報告用!$F$4:$F$39,"",FALSE)</f>
        <v>17</v>
      </c>
      <c r="I9" s="140" t="str">
        <f>_xlfn.XLOOKUP(ROW(I9)+1-ROW(I$5),報告用!$AF$4:$AF$39,報告用!$G$4:$G$39,"",FALSE)</f>
        <v>河野　秀夫</v>
      </c>
      <c r="J9" s="124" t="str">
        <f t="shared" si="2"/>
        <v>様</v>
      </c>
      <c r="K9" s="55" t="str">
        <f>IF(_xlfn.XLOOKUP(ROW(K9)+1-ROW(K$5),報告用!$AF$4:$AF$39,報告用!$E$4:$E$39,"",FALSE)=H9,"",_xlfn.XLOOKUP(ROW(K9)+1-ROW(K$5),報告用!$AF$4:$AF$39,報告用!$E$4:$E$39,"",FALSE))</f>
        <v/>
      </c>
      <c r="L9" s="111"/>
      <c r="M9" s="180"/>
      <c r="N9" s="170">
        <f>_xlfn.XLOOKUP(ROW(N9)+1-ROW(N$5),報告用!$AG$4:$AG$39,報告用!$F$4:$F$39,"",FALSE)</f>
        <v>17</v>
      </c>
      <c r="O9" s="140" t="str">
        <f>_xlfn.XLOOKUP(ROW(O9)+1-ROW(O$5),報告用!$AG$4:$AG$39,報告用!$G$4:$G$39,"",FALSE)</f>
        <v>河野　秀夫</v>
      </c>
      <c r="P9" s="124" t="str">
        <f t="shared" si="0"/>
        <v>様</v>
      </c>
      <c r="Q9" s="55" t="str">
        <f>IF(_xlfn.XLOOKUP(ROW(Q9)+1-ROW(Q$5),報告用!$AG$4:$AG$39,報告用!$E$4:$E$39,"",FALSE)=N9,"",_xlfn.XLOOKUP(ROW(Q9)+1-ROW(Q$5),報告用!$AG$4:$AG$39,報告用!$E$4:$E$39,"",FALSE))</f>
        <v/>
      </c>
    </row>
    <row r="10" spans="1:17" ht="19.5" customHeight="1">
      <c r="A10" s="180"/>
      <c r="B10" s="46" t="str">
        <f>_xlfn.XLOOKUP(ROW(B10)+1-ROW(B$5),報告用!$AC$4:$AC$39,報告用!F$4:F$39,"",FALSE)</f>
        <v/>
      </c>
      <c r="C10" s="54" t="str">
        <f>_xlfn.XLOOKUP(ROW(C10)+1-ROW(C$5),報告用!$AC$4:$AC$39,報告用!G$4:G$39,"",FALSE)</f>
        <v/>
      </c>
      <c r="D10" s="130" t="str">
        <f t="shared" si="1"/>
        <v/>
      </c>
      <c r="E10" s="47" t="str">
        <f>IF(_xlfn.XLOOKUP(ROW(E10)+1-ROW(E$5),報告用!$AC$4:$AC$39,報告用!E$4:E$39,"",FALSE)=B10,"",_xlfn.XLOOKUP(ROW(E10)+1-ROW(E$5),報告用!$AC$4:$AC$39,報告用!E$4:E$39,"",FALSE))</f>
        <v/>
      </c>
      <c r="F10" s="110"/>
      <c r="G10" s="180"/>
      <c r="H10" s="170">
        <f>_xlfn.XLOOKUP(ROW(H10)+1-ROW(H$5),報告用!$AF$4:$AF$39,報告用!$F$4:$F$39,"",FALSE)</f>
        <v>17</v>
      </c>
      <c r="I10" s="140" t="str">
        <f>_xlfn.XLOOKUP(ROW(I10)+1-ROW(I$5),報告用!$AF$4:$AF$39,報告用!$G$4:$G$39,"",FALSE)</f>
        <v>斎藤　潤一</v>
      </c>
      <c r="J10" s="124" t="str">
        <f t="shared" si="2"/>
        <v>様</v>
      </c>
      <c r="K10" s="55" t="str">
        <f>IF(_xlfn.XLOOKUP(ROW(K10)+1-ROW(K$5),報告用!$AF$4:$AF$39,報告用!$E$4:$E$39,"",FALSE)=H10,"",_xlfn.XLOOKUP(ROW(K10)+1-ROW(K$5),報告用!$AF$4:$AF$39,報告用!$E$4:$E$39,"",FALSE))</f>
        <v/>
      </c>
      <c r="L10" s="111"/>
      <c r="M10" s="180"/>
      <c r="N10" s="170">
        <f>_xlfn.XLOOKUP(ROW(N10)+1-ROW(N$5),報告用!$AG$4:$AG$39,報告用!$F$4:$F$39,"",FALSE)</f>
        <v>17</v>
      </c>
      <c r="O10" s="140" t="str">
        <f>_xlfn.XLOOKUP(ROW(O10)+1-ROW(O$5),報告用!$AG$4:$AG$39,報告用!$G$4:$G$39,"",FALSE)</f>
        <v>斎藤　潤一</v>
      </c>
      <c r="P10" s="124" t="str">
        <f t="shared" si="0"/>
        <v>様</v>
      </c>
      <c r="Q10" s="55" t="str">
        <f>IF(_xlfn.XLOOKUP(ROW(Q10)+1-ROW(Q$5),報告用!$AG$4:$AG$39,報告用!$E$4:$E$39,"",FALSE)=N10,"",_xlfn.XLOOKUP(ROW(Q10)+1-ROW(Q$5),報告用!$AG$4:$AG$39,報告用!$E$4:$E$39,"",FALSE))</f>
        <v/>
      </c>
    </row>
    <row r="11" spans="1:17" ht="19.5" customHeight="1">
      <c r="A11" s="180"/>
      <c r="B11" s="46" t="str">
        <f>_xlfn.XLOOKUP(ROW(B11)+1-ROW(B$5),報告用!$AC$4:$AC$39,報告用!F$4:F$39,"",FALSE)</f>
        <v/>
      </c>
      <c r="C11" s="54" t="str">
        <f>_xlfn.XLOOKUP(ROW(C11)+1-ROW(C$5),報告用!$AC$4:$AC$39,報告用!G$4:G$39,"",FALSE)</f>
        <v/>
      </c>
      <c r="D11" s="130" t="str">
        <f t="shared" si="1"/>
        <v/>
      </c>
      <c r="E11" s="47" t="str">
        <f>IF(_xlfn.XLOOKUP(ROW(E11)+1-ROW(E$5),報告用!$AC$4:$AC$39,報告用!E$4:E$39,"",FALSE)=B11,"",_xlfn.XLOOKUP(ROW(E11)+1-ROW(E$5),報告用!$AC$4:$AC$39,報告用!E$4:E$39,"",FALSE))</f>
        <v/>
      </c>
      <c r="F11" s="110"/>
      <c r="G11" s="180"/>
      <c r="H11" s="170">
        <f>_xlfn.XLOOKUP(ROW(H11)+1-ROW(H$5),報告用!$AF$4:$AF$39,報告用!$F$4:$F$39,"",FALSE)</f>
        <v>17</v>
      </c>
      <c r="I11" s="140" t="str">
        <f>_xlfn.XLOOKUP(ROW(I11)+1-ROW(I$5),報告用!$AF$4:$AF$39,報告用!$G$4:$G$39,"",FALSE)</f>
        <v>小澤　俊治</v>
      </c>
      <c r="J11" s="124" t="str">
        <f t="shared" si="2"/>
        <v>様</v>
      </c>
      <c r="K11" s="55" t="str">
        <f>IF(_xlfn.XLOOKUP(ROW(K11)+1-ROW(K$5),報告用!$AF$4:$AF$39,報告用!$E$4:$E$39,"",FALSE)=H11,"",_xlfn.XLOOKUP(ROW(K11)+1-ROW(K$5),報告用!$AF$4:$AF$39,報告用!$E$4:$E$39,"",FALSE))</f>
        <v/>
      </c>
      <c r="L11" s="111"/>
      <c r="M11" s="180"/>
      <c r="N11" s="170">
        <f>_xlfn.XLOOKUP(ROW(N11)+1-ROW(N$5),報告用!$AG$4:$AG$39,報告用!$F$4:$F$39,"",FALSE)</f>
        <v>17</v>
      </c>
      <c r="O11" s="140" t="str">
        <f>_xlfn.XLOOKUP(ROW(O11)+1-ROW(O$5),報告用!$AG$4:$AG$39,報告用!$G$4:$G$39,"",FALSE)</f>
        <v>小澤　俊治</v>
      </c>
      <c r="P11" s="124" t="str">
        <f t="shared" si="0"/>
        <v>様</v>
      </c>
      <c r="Q11" s="55" t="str">
        <f>IF(_xlfn.XLOOKUP(ROW(Q11)+1-ROW(Q$5),報告用!$AG$4:$AG$39,報告用!$E$4:$E$39,"",FALSE)=N11,"",_xlfn.XLOOKUP(ROW(Q11)+1-ROW(Q$5),報告用!$AG$4:$AG$39,報告用!$E$4:$E$39,"",FALSE))</f>
        <v/>
      </c>
    </row>
    <row r="12" spans="1:17" ht="19.5" customHeight="1" thickBot="1">
      <c r="A12" s="180"/>
      <c r="B12" s="46" t="str">
        <f>_xlfn.XLOOKUP(ROW(B12)+1-ROW(B$5),報告用!$AC$4:$AC$39,報告用!F$4:F$39,"",FALSE)</f>
        <v/>
      </c>
      <c r="C12" s="54" t="str">
        <f>_xlfn.XLOOKUP(ROW(C12)+1-ROW(C$5),報告用!$AC$4:$AC$39,報告用!G$4:G$39,"",FALSE)</f>
        <v/>
      </c>
      <c r="D12" s="130" t="str">
        <f t="shared" si="1"/>
        <v/>
      </c>
      <c r="E12" s="47" t="str">
        <f>IF(_xlfn.XLOOKUP(ROW(E12)+1-ROW(E$5),報告用!$AC$4:$AC$39,報告用!E$4:E$39,"",FALSE)=B12,"",_xlfn.XLOOKUP(ROW(E12)+1-ROW(E$5),報告用!$AC$4:$AC$39,報告用!E$4:E$39,"",FALSE))</f>
        <v/>
      </c>
      <c r="F12" s="110"/>
      <c r="G12" s="187"/>
      <c r="H12" s="174">
        <f>_xlfn.XLOOKUP(ROW(H12)+1-ROW(H$5),報告用!$AF$4:$AF$39,報告用!$F$4:$F$39,"",FALSE)</f>
        <v>18</v>
      </c>
      <c r="I12" s="176" t="str">
        <f>_xlfn.XLOOKUP(ROW(I12)+1-ROW(I$5),報告用!$AF$4:$AF$39,報告用!$G$4:$G$39,"",FALSE)</f>
        <v>吉井　用子</v>
      </c>
      <c r="J12" s="127" t="str">
        <f t="shared" si="2"/>
        <v>様</v>
      </c>
      <c r="K12" s="175" t="str">
        <f>IF(_xlfn.XLOOKUP(ROW(K12)+1-ROW(K$5),報告用!$AF$4:$AF$39,報告用!$E$4:$E$39,"",FALSE)=H12,"",_xlfn.XLOOKUP(ROW(K12)+1-ROW(K$5),報告用!$AF$4:$AF$39,報告用!$E$4:$E$39,"",FALSE))</f>
        <v/>
      </c>
      <c r="L12" s="111"/>
      <c r="M12" s="187"/>
      <c r="N12" s="174">
        <f>_xlfn.XLOOKUP(ROW(N12)+1-ROW(N$5),報告用!$AG$4:$AG$39,報告用!$F$4:$F$39,"",FALSE)</f>
        <v>18</v>
      </c>
      <c r="O12" s="176" t="str">
        <f>_xlfn.XLOOKUP(ROW(O12)+1-ROW(O$5),報告用!$AG$4:$AG$39,報告用!$G$4:$G$39,"",FALSE)</f>
        <v>吉井　用子</v>
      </c>
      <c r="P12" s="127" t="str">
        <f t="shared" si="0"/>
        <v>様</v>
      </c>
      <c r="Q12" s="175" t="str">
        <f>IF(_xlfn.XLOOKUP(ROW(Q12)+1-ROW(Q$5),報告用!$AG$4:$AG$39,報告用!$E$4:$E$39,"",FALSE)=N12,"",_xlfn.XLOOKUP(ROW(Q12)+1-ROW(Q$5),報告用!$AG$4:$AG$39,報告用!$E$4:$E$39,"",FALSE))</f>
        <v/>
      </c>
    </row>
    <row r="13" spans="1:17" ht="19.5" customHeight="1" thickTop="1">
      <c r="A13" s="180"/>
      <c r="B13" s="46" t="str">
        <f>_xlfn.XLOOKUP(ROW(B13)+1-ROW(B$5),報告用!$AC$4:$AC$39,報告用!F$4:F$39,"",FALSE)</f>
        <v/>
      </c>
      <c r="C13" s="54" t="str">
        <f>_xlfn.XLOOKUP(ROW(C13)+1-ROW(C$5),報告用!$AC$4:$AC$39,報告用!G$4:G$39,"",FALSE)</f>
        <v/>
      </c>
      <c r="D13" s="130" t="str">
        <f t="shared" si="1"/>
        <v/>
      </c>
      <c r="E13" s="47" t="str">
        <f>IF(_xlfn.XLOOKUP(ROW(E13)+1-ROW(E$5),報告用!$AC$4:$AC$39,報告用!E$4:E$39,"",FALSE)=B13,"",_xlfn.XLOOKUP(ROW(E13)+1-ROW(E$5),報告用!$AC$4:$AC$39,報告用!E$4:E$39,"",FALSE))</f>
        <v/>
      </c>
      <c r="F13" s="110"/>
      <c r="G13" s="179" t="s">
        <v>25</v>
      </c>
      <c r="H13" s="170">
        <f>_xlfn.XLOOKUP(ROW(H13)+1-ROW(H$13),報告用!$AK$4:$AK$39,報告用!$F$4:$F$39,"",FALSE)</f>
        <v>15</v>
      </c>
      <c r="I13" s="140" t="str">
        <f>_xlfn.XLOOKUP(ROW(I13)+1-ROW(I$13),報告用!$AK$4:$AK$39,報告用!$G$4:$G$39,"",FALSE)</f>
        <v>志村とも子</v>
      </c>
      <c r="J13" s="124" t="str">
        <f>IF(I13="","","様")</f>
        <v>様</v>
      </c>
      <c r="K13" s="55" t="str">
        <f>IF(_xlfn.XLOOKUP(ROW(K13)+1-ROW(K$13),報告用!$AK$4:$AK$39,報告用!$E$4:$E$39,"",FALSE)=H13,"",_xlfn.XLOOKUP(ROW(K13)+1-ROW(K$13),報告用!$AK$4:$AK$39,報告用!$E$4:$E$39,"",FALSE))</f>
        <v/>
      </c>
      <c r="L13" s="111"/>
      <c r="M13" s="179" t="s">
        <v>25</v>
      </c>
      <c r="N13" s="170">
        <f>_xlfn.XLOOKUP(ROW(N13)+1-ROW(N$13),報告用!$AL$4:$AL$39,報告用!$F$4:$F$39,"",FALSE)</f>
        <v>15</v>
      </c>
      <c r="O13" s="140" t="str">
        <f>_xlfn.XLOOKUP(ROW(O13)+1-ROW(O$13),報告用!$AL$4:$AL$39,報告用!$G$4:$G$39,"",FALSE)</f>
        <v>志村とも子</v>
      </c>
      <c r="P13" s="124" t="str">
        <f>IF(O13="","","様")</f>
        <v>様</v>
      </c>
      <c r="Q13" s="55" t="str">
        <f>IF(_xlfn.XLOOKUP(ROW(Q13)+1-ROW(Q$13),報告用!$AL$4:$AL$39,報告用!$E$4:$E$39,"",FALSE)=N13,"",_xlfn.XLOOKUP(ROW(Q13)+1-ROW(Q$13),報告用!$AL$4:$AL$39,報告用!$E$4:$E$39,"",FALSE))</f>
        <v/>
      </c>
    </row>
    <row r="14" spans="1:17" ht="19.5" customHeight="1">
      <c r="A14" s="180"/>
      <c r="B14" s="46" t="str">
        <f>_xlfn.XLOOKUP(ROW(B14)+1-ROW(B$5),報告用!$AC$4:$AC$39,報告用!F$4:F$39,"",FALSE)</f>
        <v/>
      </c>
      <c r="C14" s="54" t="str">
        <f>_xlfn.XLOOKUP(ROW(C14)+1-ROW(C$5),報告用!$AC$4:$AC$39,報告用!G$4:G$39,"",FALSE)</f>
        <v/>
      </c>
      <c r="D14" s="130" t="str">
        <f t="shared" si="1"/>
        <v/>
      </c>
      <c r="E14" s="47" t="str">
        <f>IF(_xlfn.XLOOKUP(ROW(E14)+1-ROW(E$5),報告用!$AC$4:$AC$39,報告用!E$4:E$39,"",FALSE)=B14,"",_xlfn.XLOOKUP(ROW(E14)+1-ROW(E$5),報告用!$AC$4:$AC$39,報告用!E$4:E$39,"",FALSE))</f>
        <v/>
      </c>
      <c r="F14" s="110"/>
      <c r="G14" s="180"/>
      <c r="H14" s="170">
        <f>_xlfn.XLOOKUP(ROW(H14)+1-ROW(H$13),報告用!$AK$4:$AK$39,報告用!$F$4:$F$39,"",FALSE)</f>
        <v>15</v>
      </c>
      <c r="I14" s="140" t="str">
        <f>_xlfn.XLOOKUP(ROW(I14)+1-ROW(I$13),報告用!$AK$4:$AK$39,報告用!$G$4:$G$39,"",FALSE)</f>
        <v>佐藤　亜美</v>
      </c>
      <c r="J14" s="124" t="str">
        <f t="shared" ref="J14:J27" si="3">IF(I14="","","様")</f>
        <v>様</v>
      </c>
      <c r="K14" s="55" t="str">
        <f>IF(_xlfn.XLOOKUP(ROW(K14)+1-ROW(K$13),報告用!$AK$4:$AK$39,報告用!$E$4:$E$39,"",FALSE)=H14,"",_xlfn.XLOOKUP(ROW(K14)+1-ROW(K$13),報告用!$AK$4:$AK$39,報告用!$E$4:$E$39,"",FALSE))</f>
        <v/>
      </c>
      <c r="L14" s="111"/>
      <c r="M14" s="180"/>
      <c r="N14" s="170">
        <f>_xlfn.XLOOKUP(ROW(N14)+1-ROW(N$13),報告用!$AL$4:$AL$39,報告用!$F$4:$F$39,"",FALSE)</f>
        <v>15</v>
      </c>
      <c r="O14" s="140" t="str">
        <f>_xlfn.XLOOKUP(ROW(O14)+1-ROW(O$13),報告用!$AL$4:$AL$39,報告用!$G$4:$G$39,"",FALSE)</f>
        <v>佐藤　亜美</v>
      </c>
      <c r="P14" s="124" t="str">
        <f t="shared" ref="P14:P27" si="4">IF(O14="","","様")</f>
        <v>様</v>
      </c>
      <c r="Q14" s="55" t="str">
        <f>IF(_xlfn.XLOOKUP(ROW(Q14)+1-ROW(Q$13),報告用!$AL$4:$AL$39,報告用!$E$4:$E$39,"",FALSE)=N14,"",_xlfn.XLOOKUP(ROW(Q14)+1-ROW(Q$13),報告用!$AL$4:$AL$39,報告用!$E$4:$E$39,"",FALSE))</f>
        <v/>
      </c>
    </row>
    <row r="15" spans="1:17" ht="19.5" customHeight="1">
      <c r="A15" s="180"/>
      <c r="B15" s="46" t="str">
        <f>_xlfn.XLOOKUP(ROW(B15)+1-ROW(B$5),報告用!$AC$4:$AC$39,報告用!F$4:F$39,"",FALSE)</f>
        <v/>
      </c>
      <c r="C15" s="54" t="str">
        <f>_xlfn.XLOOKUP(ROW(C15)+1-ROW(C$5),報告用!$AC$4:$AC$39,報告用!G$4:G$39,"",FALSE)</f>
        <v/>
      </c>
      <c r="D15" s="130" t="str">
        <f t="shared" si="1"/>
        <v/>
      </c>
      <c r="E15" s="47" t="str">
        <f>IF(_xlfn.XLOOKUP(ROW(E15)+1-ROW(E$5),報告用!$AC$4:$AC$39,報告用!E$4:E$39,"",FALSE)=B15,"",_xlfn.XLOOKUP(ROW(E15)+1-ROW(E$5),報告用!$AC$4:$AC$39,報告用!E$4:E$39,"",FALSE))</f>
        <v/>
      </c>
      <c r="F15" s="110"/>
      <c r="G15" s="180"/>
      <c r="H15" s="170">
        <f>_xlfn.XLOOKUP(ROW(H15)+1-ROW(H$13),報告用!$AK$4:$AK$39,報告用!$F$4:$F$39,"",FALSE)</f>
        <v>16</v>
      </c>
      <c r="I15" s="140" t="str">
        <f>_xlfn.XLOOKUP(ROW(I15)+1-ROW(I$13),報告用!$AK$4:$AK$39,報告用!$G$4:$G$39,"",FALSE)</f>
        <v>笠井　京子</v>
      </c>
      <c r="J15" s="124" t="str">
        <f t="shared" si="3"/>
        <v>様</v>
      </c>
      <c r="K15" s="55" t="str">
        <f>IF(_xlfn.XLOOKUP(ROW(K15)+1-ROW(K$13),報告用!$AK$4:$AK$39,報告用!$E$4:$E$39,"",FALSE)=H15,"",_xlfn.XLOOKUP(ROW(K15)+1-ROW(K$13),報告用!$AK$4:$AK$39,報告用!$E$4:$E$39,"",FALSE))</f>
        <v/>
      </c>
      <c r="L15" s="111"/>
      <c r="M15" s="180"/>
      <c r="N15" s="170">
        <f>_xlfn.XLOOKUP(ROW(N15)+1-ROW(N$13),報告用!$AL$4:$AL$39,報告用!$F$4:$F$39,"",FALSE)</f>
        <v>16</v>
      </c>
      <c r="O15" s="140" t="str">
        <f>_xlfn.XLOOKUP(ROW(O15)+1-ROW(O$13),報告用!$AL$4:$AL$39,報告用!$G$4:$G$39,"",FALSE)</f>
        <v>牛山　はつ子</v>
      </c>
      <c r="P15" s="124" t="str">
        <f t="shared" si="4"/>
        <v>様</v>
      </c>
      <c r="Q15" s="55" t="str">
        <f>IF(_xlfn.XLOOKUP(ROW(Q15)+1-ROW(Q$13),報告用!$AL$4:$AL$39,報告用!$E$4:$E$39,"",FALSE)=N15,"",_xlfn.XLOOKUP(ROW(Q15)+1-ROW(Q$13),報告用!$AL$4:$AL$39,報告用!$E$4:$E$39,"",FALSE))</f>
        <v/>
      </c>
    </row>
    <row r="16" spans="1:17" ht="19.5" customHeight="1" thickBot="1">
      <c r="A16" s="187"/>
      <c r="B16" s="52" t="str">
        <f>_xlfn.XLOOKUP(ROW(B16)+1-ROW(B$5),報告用!$AC$4:$AC$39,報告用!F$4:F$39,"",FALSE)</f>
        <v/>
      </c>
      <c r="C16" s="51" t="str">
        <f>_xlfn.XLOOKUP(ROW(C16)+1-ROW(C$5),報告用!$AC$4:$AC$39,報告用!G$4:G$39,"",FALSE)</f>
        <v/>
      </c>
      <c r="D16" s="113" t="str">
        <f t="shared" si="1"/>
        <v/>
      </c>
      <c r="E16" s="53" t="str">
        <f>IF(_xlfn.XLOOKUP(ROW(E16)+1-ROW(E$5),報告用!$AC$4:$AC$39,報告用!E$4:E$39,"",FALSE)=B16,"",_xlfn.XLOOKUP(ROW(E16)+1-ROW(E$5),報告用!$AC$4:$AC$39,報告用!E$4:E$39,"",FALSE))</f>
        <v/>
      </c>
      <c r="F16" s="110"/>
      <c r="G16" s="180"/>
      <c r="H16" s="170">
        <f>_xlfn.XLOOKUP(ROW(H16)+1-ROW(H$13),報告用!$AK$4:$AK$39,報告用!$F$4:$F$39,"",FALSE)</f>
        <v>16</v>
      </c>
      <c r="I16" s="140" t="str">
        <f>_xlfn.XLOOKUP(ROW(I16)+1-ROW(I$13),報告用!$AK$4:$AK$39,報告用!$G$4:$G$39,"",FALSE)</f>
        <v>牛山　はつ子</v>
      </c>
      <c r="J16" s="124" t="str">
        <f t="shared" si="3"/>
        <v>様</v>
      </c>
      <c r="K16" s="55" t="str">
        <f>IF(_xlfn.XLOOKUP(ROW(K16)+1-ROW(K$13),報告用!$AK$4:$AK$39,報告用!$E$4:$E$39,"",FALSE)=H16,"",_xlfn.XLOOKUP(ROW(K16)+1-ROW(K$13),報告用!$AK$4:$AK$39,報告用!$E$4:$E$39,"",FALSE))</f>
        <v/>
      </c>
      <c r="L16" s="111"/>
      <c r="M16" s="180"/>
      <c r="N16" s="170">
        <f>_xlfn.XLOOKUP(ROW(N16)+1-ROW(N$13),報告用!$AL$4:$AL$39,報告用!$F$4:$F$39,"",FALSE)</f>
        <v>16</v>
      </c>
      <c r="O16" s="140" t="str">
        <f>_xlfn.XLOOKUP(ROW(O16)+1-ROW(O$13),報告用!$AL$4:$AL$39,報告用!$G$4:$G$39,"",FALSE)</f>
        <v>西山　望</v>
      </c>
      <c r="P16" s="124" t="str">
        <f t="shared" si="4"/>
        <v>様</v>
      </c>
      <c r="Q16" s="55" t="str">
        <f>IF(_xlfn.XLOOKUP(ROW(Q16)+1-ROW(Q$13),報告用!$AL$4:$AL$39,報告用!$E$4:$E$39,"",FALSE)=N16,"",_xlfn.XLOOKUP(ROW(Q16)+1-ROW(Q$13),報告用!$AL$4:$AL$39,報告用!$E$4:$E$39,"",FALSE))</f>
        <v/>
      </c>
    </row>
    <row r="17" spans="1:17" ht="19.5" customHeight="1" thickTop="1">
      <c r="A17" s="198" t="s">
        <v>37</v>
      </c>
      <c r="B17" s="49">
        <f>_xlfn.XLOOKUP(ROW(B17)+1-ROW(B$17),報告用!$AD$4:$AD$39,報告用!F$4:F$39,"",FALSE)</f>
        <v>16</v>
      </c>
      <c r="C17" s="48" t="str">
        <f>_xlfn.XLOOKUP(ROW(C17)+1-ROW(C$17),報告用!$AD$4:$AD$39,報告用!G$4:G$39,"",FALSE)</f>
        <v>牛山　はつ子</v>
      </c>
      <c r="D17" s="122" t="str">
        <f>IF(C17="","","様")</f>
        <v>様</v>
      </c>
      <c r="E17" s="50" t="str">
        <f>IF(_xlfn.XLOOKUP(ROW(E17)+1-ROW(E$17),報告用!$AD$4:$AD$39,報告用!E$4:E$39,"",FALSE)=B17,"",_xlfn.XLOOKUP(ROW(E17)+1-ROW(E$17),報告用!$AD$4:$AD$39,報告用!E$4:E$39,"",FALSE))</f>
        <v/>
      </c>
      <c r="F17" s="110"/>
      <c r="G17" s="180"/>
      <c r="H17" s="170">
        <f>_xlfn.XLOOKUP(ROW(H17)+1-ROW(H$13),報告用!$AK$4:$AK$39,報告用!$F$4:$F$39,"",FALSE)</f>
        <v>16</v>
      </c>
      <c r="I17" s="140" t="str">
        <f>_xlfn.XLOOKUP(ROW(I17)+1-ROW(I$13),報告用!$AK$4:$AK$39,報告用!$G$4:$G$39,"",FALSE)</f>
        <v>西山　望</v>
      </c>
      <c r="J17" s="124" t="str">
        <f t="shared" si="3"/>
        <v>様</v>
      </c>
      <c r="K17" s="55" t="str">
        <f>IF(_xlfn.XLOOKUP(ROW(K17)+1-ROW(K$13),報告用!$AK$4:$AK$39,報告用!$E$4:$E$39,"",FALSE)=H17,"",_xlfn.XLOOKUP(ROW(K17)+1-ROW(K$13),報告用!$AK$4:$AK$39,報告用!$E$4:$E$39,"",FALSE))</f>
        <v/>
      </c>
      <c r="L17" s="111"/>
      <c r="M17" s="180"/>
      <c r="N17" s="170">
        <f>_xlfn.XLOOKUP(ROW(N17)+1-ROW(N$13),報告用!$AL$4:$AL$39,報告用!$F$4:$F$39,"",FALSE)</f>
        <v>17</v>
      </c>
      <c r="O17" s="140" t="str">
        <f>_xlfn.XLOOKUP(ROW(O17)+1-ROW(O$13),報告用!$AL$4:$AL$39,報告用!$G$4:$G$39,"",FALSE)</f>
        <v>斎藤　潤一</v>
      </c>
      <c r="P17" s="124" t="str">
        <f t="shared" si="4"/>
        <v>様</v>
      </c>
      <c r="Q17" s="55" t="str">
        <f>IF(_xlfn.XLOOKUP(ROW(Q17)+1-ROW(Q$13),報告用!$AL$4:$AL$39,報告用!$E$4:$E$39,"",FALSE)=N17,"",_xlfn.XLOOKUP(ROW(Q17)+1-ROW(Q$13),報告用!$AL$4:$AL$39,報告用!$E$4:$E$39,"",FALSE))</f>
        <v/>
      </c>
    </row>
    <row r="18" spans="1:17" ht="19.5" customHeight="1">
      <c r="A18" s="180"/>
      <c r="B18" s="170">
        <f>_xlfn.XLOOKUP(ROW(B18)+1-ROW(B$17),報告用!$AD$4:$AD$39,報告用!F$4:F$39,"",FALSE)</f>
        <v>16</v>
      </c>
      <c r="C18" s="140" t="str">
        <f>_xlfn.XLOOKUP(ROW(C18)+1-ROW(C$17),報告用!$AD$4:$AD$39,報告用!G$4:G$39,"",FALSE)</f>
        <v>森　たい子</v>
      </c>
      <c r="D18" s="124" t="str">
        <f t="shared" ref="D18:D24" si="5">IF(C18="","","様")</f>
        <v>様</v>
      </c>
      <c r="E18" s="55" t="str">
        <f>IF(_xlfn.XLOOKUP(ROW(E18)+1-ROW(E$17),報告用!$AD$4:$AD$39,報告用!E$4:E$39,"",FALSE)=B18,"",_xlfn.XLOOKUP(ROW(E18)+1-ROW(E$17),報告用!$AD$4:$AD$39,報告用!E$4:E$39,"",FALSE))</f>
        <v/>
      </c>
      <c r="F18" s="110"/>
      <c r="G18" s="180"/>
      <c r="H18" s="170">
        <f>_xlfn.XLOOKUP(ROW(H18)+1-ROW(H$13),報告用!$AK$4:$AK$39,報告用!$F$4:$F$39,"",FALSE)</f>
        <v>17</v>
      </c>
      <c r="I18" s="140" t="str">
        <f>_xlfn.XLOOKUP(ROW(I18)+1-ROW(I$13),報告用!$AK$4:$AK$39,報告用!$G$4:$G$39,"",FALSE)</f>
        <v>斎藤　潤一</v>
      </c>
      <c r="J18" s="124" t="str">
        <f t="shared" si="3"/>
        <v>様</v>
      </c>
      <c r="K18" s="55" t="str">
        <f>IF(_xlfn.XLOOKUP(ROW(K18)+1-ROW(K$13),報告用!$AK$4:$AK$39,報告用!$E$4:$E$39,"",FALSE)=H18,"",_xlfn.XLOOKUP(ROW(K18)+1-ROW(K$13),報告用!$AK$4:$AK$39,報告用!$E$4:$E$39,"",FALSE))</f>
        <v/>
      </c>
      <c r="L18" s="111"/>
      <c r="M18" s="180"/>
      <c r="N18" s="170">
        <f>_xlfn.XLOOKUP(ROW(N18)+1-ROW(N$13),報告用!$AL$4:$AL$39,報告用!$F$4:$F$39,"",FALSE)</f>
        <v>18</v>
      </c>
      <c r="O18" s="140" t="str">
        <f>_xlfn.XLOOKUP(ROW(O18)+1-ROW(O$13),報告用!$AL$4:$AL$39,報告用!$G$4:$G$39,"",FALSE)</f>
        <v>中澤　和江</v>
      </c>
      <c r="P18" s="124" t="str">
        <f t="shared" si="4"/>
        <v>様</v>
      </c>
      <c r="Q18" s="55">
        <f>IF(_xlfn.XLOOKUP(ROW(Q18)+1-ROW(Q$13),報告用!$AL$4:$AL$39,報告用!$E$4:$E$39,"",FALSE)=N18,"",_xlfn.XLOOKUP(ROW(Q18)+1-ROW(Q$13),報告用!$AL$4:$AL$39,報告用!$E$4:$E$39,"",FALSE))</f>
        <v>17</v>
      </c>
    </row>
    <row r="19" spans="1:17" ht="19.5" customHeight="1">
      <c r="A19" s="180"/>
      <c r="B19" s="170">
        <f>_xlfn.XLOOKUP(ROW(B19)+1-ROW(B$17),報告用!$AD$4:$AD$39,報告用!F$4:F$39,"",FALSE)</f>
        <v>17</v>
      </c>
      <c r="C19" s="140" t="str">
        <f>_xlfn.XLOOKUP(ROW(C19)+1-ROW(C$17),報告用!$AD$4:$AD$39,報告用!G$4:G$39,"",FALSE)</f>
        <v>小澤　俊治</v>
      </c>
      <c r="D19" s="124" t="str">
        <f t="shared" si="5"/>
        <v>様</v>
      </c>
      <c r="E19" s="55" t="str">
        <f>IF(_xlfn.XLOOKUP(ROW(E19)+1-ROW(E$17),報告用!$AD$4:$AD$39,報告用!E$4:E$39,"",FALSE)=B19,"",_xlfn.XLOOKUP(ROW(E19)+1-ROW(E$17),報告用!$AD$4:$AD$39,報告用!E$4:E$39,"",FALSE))</f>
        <v/>
      </c>
      <c r="F19" s="110"/>
      <c r="G19" s="180"/>
      <c r="H19" s="170">
        <f>_xlfn.XLOOKUP(ROW(H19)+1-ROW(H$13),報告用!$AK$4:$AK$39,報告用!$F$4:$F$39,"",FALSE)</f>
        <v>18</v>
      </c>
      <c r="I19" s="140" t="str">
        <f>_xlfn.XLOOKUP(ROW(I19)+1-ROW(I$13),報告用!$AK$4:$AK$39,報告用!$G$4:$G$39,"",FALSE)</f>
        <v>中澤　和江</v>
      </c>
      <c r="J19" s="124" t="str">
        <f t="shared" si="3"/>
        <v>様</v>
      </c>
      <c r="K19" s="55">
        <f>IF(_xlfn.XLOOKUP(ROW(K19)+1-ROW(K$13),報告用!$AK$4:$AK$39,報告用!$E$4:$E$39,"",FALSE)=H19,"",_xlfn.XLOOKUP(ROW(K19)+1-ROW(K$13),報告用!$AK$4:$AK$39,報告用!$E$4:$E$39,"",FALSE))</f>
        <v>17</v>
      </c>
      <c r="L19" s="111"/>
      <c r="M19" s="180"/>
      <c r="N19" s="170">
        <f>_xlfn.XLOOKUP(ROW(N19)+1-ROW(N$13),報告用!$AL$4:$AL$39,報告用!$F$4:$F$39,"",FALSE)</f>
        <v>18</v>
      </c>
      <c r="O19" s="140" t="str">
        <f>_xlfn.XLOOKUP(ROW(O19)+1-ROW(O$13),報告用!$AL$4:$AL$39,報告用!$G$4:$G$39,"",FALSE)</f>
        <v>山本　たみ子</v>
      </c>
      <c r="P19" s="124" t="str">
        <f t="shared" si="4"/>
        <v>様</v>
      </c>
      <c r="Q19" s="55" t="str">
        <f>IF(_xlfn.XLOOKUP(ROW(Q19)+1-ROW(Q$13),報告用!$AL$4:$AL$39,報告用!$E$4:$E$39,"",FALSE)=N19,"",_xlfn.XLOOKUP(ROW(Q19)+1-ROW(Q$13),報告用!$AL$4:$AL$39,報告用!$E$4:$E$39,"",FALSE))</f>
        <v/>
      </c>
    </row>
    <row r="20" spans="1:17" ht="19.5" customHeight="1">
      <c r="A20" s="180"/>
      <c r="B20" s="170">
        <f>_xlfn.XLOOKUP(ROW(B20)+1-ROW(B$17),報告用!$AD$4:$AD$39,報告用!F$4:F$39,"",FALSE)</f>
        <v>21</v>
      </c>
      <c r="C20" s="140" t="str">
        <f>_xlfn.XLOOKUP(ROW(C20)+1-ROW(C$17),報告用!$AD$4:$AD$39,報告用!G$4:G$39,"",FALSE)</f>
        <v>土田　茂</v>
      </c>
      <c r="D20" s="124" t="str">
        <f t="shared" si="5"/>
        <v>様</v>
      </c>
      <c r="E20" s="55" t="str">
        <f>IF(_xlfn.XLOOKUP(ROW(E20)+1-ROW(E$17),報告用!$AD$4:$AD$39,報告用!E$4:E$39,"",FALSE)=B20,"",_xlfn.XLOOKUP(ROW(E20)+1-ROW(E$17),報告用!$AD$4:$AD$39,報告用!E$4:E$39,"",FALSE))</f>
        <v/>
      </c>
      <c r="F20" s="110"/>
      <c r="G20" s="180"/>
      <c r="H20" s="170">
        <f>_xlfn.XLOOKUP(ROW(H20)+1-ROW(H$13),報告用!$AK$4:$AK$39,報告用!$F$4:$F$39,"",FALSE)</f>
        <v>18</v>
      </c>
      <c r="I20" s="140" t="str">
        <f>_xlfn.XLOOKUP(ROW(I20)+1-ROW(I$13),報告用!$AK$4:$AK$39,報告用!$G$4:$G$39,"",FALSE)</f>
        <v>深味　照子</v>
      </c>
      <c r="J20" s="124" t="str">
        <f t="shared" si="3"/>
        <v>様</v>
      </c>
      <c r="K20" s="55" t="str">
        <f>IF(_xlfn.XLOOKUP(ROW(K20)+1-ROW(K$13),報告用!$AK$4:$AK$39,報告用!$E$4:$E$39,"",FALSE)=H20,"",_xlfn.XLOOKUP(ROW(K20)+1-ROW(K$13),報告用!$AK$4:$AK$39,報告用!$E$4:$E$39,"",FALSE))</f>
        <v/>
      </c>
      <c r="L20" s="111"/>
      <c r="M20" s="180"/>
      <c r="N20" s="170">
        <f>_xlfn.XLOOKUP(ROW(N20)+1-ROW(N$13),報告用!$AL$4:$AL$39,報告用!$F$4:$F$39,"",FALSE)</f>
        <v>20</v>
      </c>
      <c r="O20" s="140" t="str">
        <f>_xlfn.XLOOKUP(ROW(O20)+1-ROW(O$13),報告用!$AL$4:$AL$39,報告用!$G$4:$G$39,"",FALSE)</f>
        <v>小口　千穂</v>
      </c>
      <c r="P20" s="124" t="str">
        <f t="shared" si="4"/>
        <v>様</v>
      </c>
      <c r="Q20" s="55" t="str">
        <f>IF(_xlfn.XLOOKUP(ROW(Q20)+1-ROW(Q$13),報告用!$AL$4:$AL$39,報告用!$E$4:$E$39,"",FALSE)=N20,"",_xlfn.XLOOKUP(ROW(Q20)+1-ROW(Q$13),報告用!$AL$4:$AL$39,報告用!$E$4:$E$39,"",FALSE))</f>
        <v/>
      </c>
    </row>
    <row r="21" spans="1:17" ht="19.5" customHeight="1">
      <c r="A21" s="180"/>
      <c r="B21" s="170" t="str">
        <f>_xlfn.XLOOKUP(ROW(B21)+1-ROW(B$17),報告用!$AD$4:$AD$39,報告用!F$4:F$39,"",FALSE)</f>
        <v/>
      </c>
      <c r="C21" s="140" t="str">
        <f>_xlfn.XLOOKUP(ROW(C21)+1-ROW(C$17),報告用!$AD$4:$AD$39,報告用!G$4:G$39,"",FALSE)</f>
        <v/>
      </c>
      <c r="D21" s="124" t="str">
        <f t="shared" si="5"/>
        <v/>
      </c>
      <c r="E21" s="55" t="str">
        <f>IF(_xlfn.XLOOKUP(ROW(E21)+1-ROW(E$17),報告用!$AD$4:$AD$39,報告用!E$4:E$39,"",FALSE)=B21,"",_xlfn.XLOOKUP(ROW(E21)+1-ROW(E$17),報告用!$AD$4:$AD$39,報告用!E$4:E$39,"",FALSE))</f>
        <v/>
      </c>
      <c r="F21" s="110"/>
      <c r="G21" s="180"/>
      <c r="H21" s="170">
        <f>_xlfn.XLOOKUP(ROW(H21)+1-ROW(H$13),報告用!$AK$4:$AK$39,報告用!$F$4:$F$39,"",FALSE)</f>
        <v>18</v>
      </c>
      <c r="I21" s="140" t="str">
        <f>_xlfn.XLOOKUP(ROW(I21)+1-ROW(I$13),報告用!$AK$4:$AK$39,報告用!$G$4:$G$39,"",FALSE)</f>
        <v>山本　たみ子</v>
      </c>
      <c r="J21" s="124" t="str">
        <f t="shared" si="3"/>
        <v>様</v>
      </c>
      <c r="K21" s="55" t="str">
        <f>IF(_xlfn.XLOOKUP(ROW(K21)+1-ROW(K$13),報告用!$AK$4:$AK$39,報告用!$E$4:$E$39,"",FALSE)=H21,"",_xlfn.XLOOKUP(ROW(K21)+1-ROW(K$13),報告用!$AK$4:$AK$39,報告用!$E$4:$E$39,"",FALSE))</f>
        <v/>
      </c>
      <c r="L21" s="111"/>
      <c r="M21" s="180"/>
      <c r="N21" s="170">
        <f>_xlfn.XLOOKUP(ROW(N21)+1-ROW(N$13),報告用!$AL$4:$AL$39,報告用!$F$4:$F$39,"",FALSE)</f>
        <v>20</v>
      </c>
      <c r="O21" s="140" t="str">
        <f>_xlfn.XLOOKUP(ROW(O21)+1-ROW(O$13),報告用!$AL$4:$AL$39,報告用!$G$4:$G$39,"",FALSE)</f>
        <v>堀内　竹子</v>
      </c>
      <c r="P21" s="124" t="str">
        <f t="shared" si="4"/>
        <v>様</v>
      </c>
      <c r="Q21" s="55" t="str">
        <f>IF(_xlfn.XLOOKUP(ROW(Q21)+1-ROW(Q$13),報告用!$AL$4:$AL$39,報告用!$E$4:$E$39,"",FALSE)=N21,"",_xlfn.XLOOKUP(ROW(Q21)+1-ROW(Q$13),報告用!$AL$4:$AL$39,報告用!$E$4:$E$39,"",FALSE))</f>
        <v/>
      </c>
    </row>
    <row r="22" spans="1:17" ht="19.5" customHeight="1">
      <c r="A22" s="180"/>
      <c r="B22" s="170" t="str">
        <f>_xlfn.XLOOKUP(ROW(B22)+1-ROW(B$17),報告用!$AD$4:$AD$39,報告用!F$4:F$39,"",FALSE)</f>
        <v/>
      </c>
      <c r="C22" s="140" t="str">
        <f>_xlfn.XLOOKUP(ROW(C22)+1-ROW(C$17),報告用!$AD$4:$AD$39,報告用!G$4:G$39,"",FALSE)</f>
        <v/>
      </c>
      <c r="D22" s="124" t="str">
        <f t="shared" si="5"/>
        <v/>
      </c>
      <c r="E22" s="55" t="str">
        <f>IF(_xlfn.XLOOKUP(ROW(E22)+1-ROW(E$17),報告用!$AD$4:$AD$39,報告用!E$4:E$39,"",FALSE)=B22,"",_xlfn.XLOOKUP(ROW(E22)+1-ROW(E$17),報告用!$AD$4:$AD$39,報告用!E$4:E$39,"",FALSE))</f>
        <v/>
      </c>
      <c r="F22" s="110"/>
      <c r="G22" s="180"/>
      <c r="H22" s="170">
        <f>_xlfn.XLOOKUP(ROW(H22)+1-ROW(H$13),報告用!$AK$4:$AK$39,報告用!$F$4:$F$39,"",FALSE)</f>
        <v>20</v>
      </c>
      <c r="I22" s="140" t="str">
        <f>_xlfn.XLOOKUP(ROW(I22)+1-ROW(I$13),報告用!$AK$4:$AK$39,報告用!$G$4:$G$39,"",FALSE)</f>
        <v>小口　千穂</v>
      </c>
      <c r="J22" s="124" t="str">
        <f t="shared" si="3"/>
        <v>様</v>
      </c>
      <c r="K22" s="55" t="str">
        <f>IF(_xlfn.XLOOKUP(ROW(K22)+1-ROW(K$13),報告用!$AK$4:$AK$39,報告用!$E$4:$E$39,"",FALSE)=H22,"",_xlfn.XLOOKUP(ROW(K22)+1-ROW(K$13),報告用!$AK$4:$AK$39,報告用!$E$4:$E$39,"",FALSE))</f>
        <v/>
      </c>
      <c r="L22" s="111"/>
      <c r="M22" s="180"/>
      <c r="N22" s="170">
        <f>_xlfn.XLOOKUP(ROW(N22)+1-ROW(N$13),報告用!$AL$4:$AL$39,報告用!$F$4:$F$39,"",FALSE)</f>
        <v>21</v>
      </c>
      <c r="O22" s="140" t="str">
        <f>_xlfn.XLOOKUP(ROW(O22)+1-ROW(O$13),報告用!$AL$4:$AL$39,報告用!$G$4:$G$39,"",FALSE)</f>
        <v>小林　國光</v>
      </c>
      <c r="P22" s="124" t="str">
        <f t="shared" si="4"/>
        <v>様</v>
      </c>
      <c r="Q22" s="55">
        <f>IF(_xlfn.XLOOKUP(ROW(Q22)+1-ROW(Q$13),報告用!$AL$4:$AL$39,報告用!$E$4:$E$39,"",FALSE)=N22,"",_xlfn.XLOOKUP(ROW(Q22)+1-ROW(Q$13),報告用!$AL$4:$AL$39,報告用!$E$4:$E$39,"",FALSE))</f>
        <v>17</v>
      </c>
    </row>
    <row r="23" spans="1:17" ht="19.5" customHeight="1">
      <c r="A23" s="180"/>
      <c r="B23" s="170" t="str">
        <f>_xlfn.XLOOKUP(ROW(B23)+1-ROW(B$17),報告用!$AD$4:$AD$39,報告用!F$4:F$39,"",FALSE)</f>
        <v/>
      </c>
      <c r="C23" s="140" t="str">
        <f>_xlfn.XLOOKUP(ROW(C23)+1-ROW(C$17),報告用!$AD$4:$AD$39,報告用!G$4:G$39,"",FALSE)</f>
        <v/>
      </c>
      <c r="D23" s="124" t="str">
        <f t="shared" si="5"/>
        <v/>
      </c>
      <c r="E23" s="55" t="str">
        <f>IF(_xlfn.XLOOKUP(ROW(E23)+1-ROW(E$17),報告用!$AD$4:$AD$39,報告用!E$4:E$39,"",FALSE)=B23,"",_xlfn.XLOOKUP(ROW(E23)+1-ROW(E$17),報告用!$AD$4:$AD$39,報告用!E$4:E$39,"",FALSE))</f>
        <v/>
      </c>
      <c r="F23" s="110"/>
      <c r="G23" s="180"/>
      <c r="H23" s="170">
        <f>_xlfn.XLOOKUP(ROW(H23)+1-ROW(H$13),報告用!$AK$4:$AK$39,報告用!$F$4:$F$39,"",FALSE)</f>
        <v>20</v>
      </c>
      <c r="I23" s="140" t="str">
        <f>_xlfn.XLOOKUP(ROW(I23)+1-ROW(I$13),報告用!$AK$4:$AK$39,報告用!$G$4:$G$39,"",FALSE)</f>
        <v>堀内　竹子</v>
      </c>
      <c r="J23" s="124" t="str">
        <f t="shared" si="3"/>
        <v>様</v>
      </c>
      <c r="K23" s="55" t="str">
        <f>IF(_xlfn.XLOOKUP(ROW(K23)+1-ROW(K$13),報告用!$AK$4:$AK$39,報告用!$E$4:$E$39,"",FALSE)=H23,"",_xlfn.XLOOKUP(ROW(K23)+1-ROW(K$13),報告用!$AK$4:$AK$39,報告用!$E$4:$E$39,"",FALSE))</f>
        <v/>
      </c>
      <c r="L23" s="111"/>
      <c r="M23" s="180"/>
      <c r="N23" s="170">
        <f>_xlfn.XLOOKUP(ROW(N23)+1-ROW(N$13),報告用!$AL$4:$AL$39,報告用!$F$4:$F$39,"",FALSE)</f>
        <v>21</v>
      </c>
      <c r="O23" s="140" t="str">
        <f>_xlfn.XLOOKUP(ROW(O23)+1-ROW(O$13),報告用!$AL$4:$AL$39,報告用!$G$4:$G$39,"",FALSE)</f>
        <v>土田　茂</v>
      </c>
      <c r="P23" s="124" t="str">
        <f t="shared" si="4"/>
        <v>様</v>
      </c>
      <c r="Q23" s="55" t="str">
        <f>IF(_xlfn.XLOOKUP(ROW(Q23)+1-ROW(Q$13),報告用!$AL$4:$AL$39,報告用!$E$4:$E$39,"",FALSE)=N23,"",_xlfn.XLOOKUP(ROW(Q23)+1-ROW(Q$13),報告用!$AL$4:$AL$39,報告用!$E$4:$E$39,"",FALSE))</f>
        <v/>
      </c>
    </row>
    <row r="24" spans="1:17" ht="19.5" customHeight="1" thickBot="1">
      <c r="A24" s="187"/>
      <c r="B24" s="174" t="str">
        <f>_xlfn.XLOOKUP(ROW(B24)+1-ROW(B$17),報告用!$AD$4:$AD$39,報告用!F$4:F$39,"",FALSE)</f>
        <v/>
      </c>
      <c r="C24" s="176" t="str">
        <f>_xlfn.XLOOKUP(ROW(C24)+1-ROW(C$17),報告用!$AD$4:$AD$39,報告用!G$4:G$39,"",FALSE)</f>
        <v/>
      </c>
      <c r="D24" s="127" t="str">
        <f t="shared" si="5"/>
        <v/>
      </c>
      <c r="E24" s="175" t="str">
        <f>IF(_xlfn.XLOOKUP(ROW(E24)+1-ROW(E$17),報告用!$AD$4:$AD$39,報告用!E$4:E$39,"",FALSE)=B24,"",_xlfn.XLOOKUP(ROW(E24)+1-ROW(E$17),報告用!$AD$4:$AD$39,報告用!E$4:E$39,"",FALSE))</f>
        <v/>
      </c>
      <c r="F24" s="110"/>
      <c r="G24" s="180"/>
      <c r="H24" s="170">
        <f>_xlfn.XLOOKUP(ROW(H24)+1-ROW(H$13),報告用!$AK$4:$AK$39,報告用!$F$4:$F$39,"",FALSE)</f>
        <v>21</v>
      </c>
      <c r="I24" s="140" t="str">
        <f>_xlfn.XLOOKUP(ROW(I24)+1-ROW(I$13),報告用!$AK$4:$AK$39,報告用!$G$4:$G$39,"",FALSE)</f>
        <v>小林　國光</v>
      </c>
      <c r="J24" s="124" t="str">
        <f t="shared" si="3"/>
        <v>様</v>
      </c>
      <c r="K24" s="55">
        <f>IF(_xlfn.XLOOKUP(ROW(K24)+1-ROW(K$13),報告用!$AK$4:$AK$39,報告用!$E$4:$E$39,"",FALSE)=H24,"",_xlfn.XLOOKUP(ROW(K24)+1-ROW(K$13),報告用!$AK$4:$AK$39,報告用!$E$4:$E$39,"",FALSE))</f>
        <v>17</v>
      </c>
      <c r="L24" s="111"/>
      <c r="M24" s="180"/>
      <c r="N24" s="170">
        <f>_xlfn.XLOOKUP(ROW(N24)+1-ROW(N$13),報告用!$AL$4:$AL$39,報告用!$F$4:$F$39,"",FALSE)</f>
        <v>21</v>
      </c>
      <c r="O24" s="140" t="str">
        <f>_xlfn.XLOOKUP(ROW(O24)+1-ROW(O$13),報告用!$AL$4:$AL$39,報告用!$G$4:$G$39,"",FALSE)</f>
        <v>加納　鉄也</v>
      </c>
      <c r="P24" s="124" t="str">
        <f t="shared" si="4"/>
        <v>様</v>
      </c>
      <c r="Q24" s="55">
        <f>IF(_xlfn.XLOOKUP(ROW(Q24)+1-ROW(Q$13),報告用!$AL$4:$AL$39,報告用!$E$4:$E$39,"",FALSE)=N24,"",_xlfn.XLOOKUP(ROW(Q24)+1-ROW(Q$13),報告用!$AL$4:$AL$39,報告用!$E$4:$E$39,"",FALSE))</f>
        <v>16</v>
      </c>
    </row>
    <row r="25" spans="1:17" ht="19.5" customHeight="1" thickTop="1">
      <c r="A25" s="197" t="s">
        <v>94</v>
      </c>
      <c r="B25" s="170" t="str">
        <f>_xlfn.XLOOKUP(ROW(B25)+1-ROW(B$25),報告用!$AE$4:$AE$39,報告用!F$4:F$39,"",FALSE)</f>
        <v/>
      </c>
      <c r="C25" s="140" t="str">
        <f>_xlfn.XLOOKUP(ROW(C25)+1-ROW(C$25),報告用!$AE$4:$AE$39,報告用!G$4:G$39,"",FALSE)</f>
        <v/>
      </c>
      <c r="D25" s="124" t="str">
        <f>IF(C25="","","様")</f>
        <v/>
      </c>
      <c r="E25" s="55" t="str">
        <f>IF(_xlfn.XLOOKUP(ROW(E25)+1-ROW(E$25),報告用!$AE$4:$AE$39,報告用!E$4:E$39,"",FALSE)=B25,"",_xlfn.XLOOKUP(ROW(E25)+1-ROW(E$25),報告用!$AE$4:$AE$39,報告用!E$4:E$39,"",FALSE))</f>
        <v/>
      </c>
      <c r="F25" s="110"/>
      <c r="G25" s="180"/>
      <c r="H25" s="170">
        <f>_xlfn.XLOOKUP(ROW(H25)+1-ROW(H$13),報告用!$AK$4:$AK$39,報告用!$F$4:$F$39,"",FALSE)</f>
        <v>21</v>
      </c>
      <c r="I25" s="140" t="str">
        <f>_xlfn.XLOOKUP(ROW(I25)+1-ROW(I$13),報告用!$AK$4:$AK$39,報告用!$G$4:$G$39,"",FALSE)</f>
        <v>土田　茂</v>
      </c>
      <c r="J25" s="124" t="str">
        <f t="shared" si="3"/>
        <v>様</v>
      </c>
      <c r="K25" s="55" t="str">
        <f>IF(_xlfn.XLOOKUP(ROW(K25)+1-ROW(K$13),報告用!$AK$4:$AK$39,報告用!$E$4:$E$39,"",FALSE)=H25,"",_xlfn.XLOOKUP(ROW(K25)+1-ROW(K$13),報告用!$AK$4:$AK$39,報告用!$E$4:$E$39,"",FALSE))</f>
        <v/>
      </c>
      <c r="L25" s="111"/>
      <c r="M25" s="180"/>
      <c r="N25" s="170">
        <f>_xlfn.XLOOKUP(ROW(N25)+1-ROW(N$13),報告用!$AL$4:$AL$39,報告用!$F$4:$F$39,"",FALSE)</f>
        <v>22</v>
      </c>
      <c r="O25" s="140" t="str">
        <f>_xlfn.XLOOKUP(ROW(O25)+1-ROW(O$13),報告用!$AL$4:$AL$39,報告用!$G$4:$G$39,"",FALSE)</f>
        <v>小林　慶子</v>
      </c>
      <c r="P25" s="124" t="str">
        <f t="shared" si="4"/>
        <v>様</v>
      </c>
      <c r="Q25" s="55" t="str">
        <f>IF(_xlfn.XLOOKUP(ROW(Q25)+1-ROW(Q$13),報告用!$AL$4:$AL$39,報告用!$E$4:$E$39,"",FALSE)=N25,"",_xlfn.XLOOKUP(ROW(Q25)+1-ROW(Q$13),報告用!$AL$4:$AL$39,報告用!$E$4:$E$39,"",FALSE))</f>
        <v/>
      </c>
    </row>
    <row r="26" spans="1:17" ht="19.5" customHeight="1">
      <c r="A26" s="180"/>
      <c r="B26" s="170" t="str">
        <f>_xlfn.XLOOKUP(ROW(B26)+1-ROW(B$25),報告用!$AE$4:$AE$39,報告用!F$4:F$39,"",FALSE)</f>
        <v/>
      </c>
      <c r="C26" s="140" t="str">
        <f>_xlfn.XLOOKUP(ROW(C26)+1-ROW(C$25),報告用!$AE$4:$AE$39,報告用!G$4:G$39,"",FALSE)</f>
        <v/>
      </c>
      <c r="D26" s="124" t="str">
        <f>IF(C26="","","様")</f>
        <v/>
      </c>
      <c r="E26" s="55" t="str">
        <f>IF(_xlfn.XLOOKUP(ROW(E26)+1-ROW(E$25),報告用!$AE$4:$AE$39,報告用!E$4:E$39,"",FALSE)=B26,"",_xlfn.XLOOKUP(ROW(E26)+1-ROW(E$25),報告用!$AE$4:$AE$39,報告用!E$4:E$39,"",FALSE))</f>
        <v/>
      </c>
      <c r="F26" s="110"/>
      <c r="G26" s="180"/>
      <c r="H26" s="170">
        <f>_xlfn.XLOOKUP(ROW(H26)+1-ROW(H$13),報告用!$AK$4:$AK$39,報告用!$F$4:$F$39,"",FALSE)</f>
        <v>21</v>
      </c>
      <c r="I26" s="140" t="str">
        <f>_xlfn.XLOOKUP(ROW(I26)+1-ROW(I$13),報告用!$AK$4:$AK$39,報告用!$G$4:$G$39,"",FALSE)</f>
        <v>加納　鉄也</v>
      </c>
      <c r="J26" s="124" t="str">
        <f t="shared" si="3"/>
        <v>様</v>
      </c>
      <c r="K26" s="55">
        <f>IF(_xlfn.XLOOKUP(ROW(K26)+1-ROW(K$13),報告用!$AK$4:$AK$39,報告用!$E$4:$E$39,"",FALSE)=H26,"",_xlfn.XLOOKUP(ROW(K26)+1-ROW(K$13),報告用!$AK$4:$AK$39,報告用!$E$4:$E$39,"",FALSE))</f>
        <v>16</v>
      </c>
      <c r="L26" s="111"/>
      <c r="M26" s="180"/>
      <c r="N26" s="170" t="str">
        <f>_xlfn.XLOOKUP(ROW(N26)+1-ROW(N$13),報告用!$AL$4:$AL$39,報告用!$F$4:$F$39,"",FALSE)</f>
        <v/>
      </c>
      <c r="O26" s="140" t="str">
        <f>_xlfn.XLOOKUP(ROW(O26)+1-ROW(O$13),報告用!$AL$4:$AL$39,報告用!$G$4:$G$39,"",FALSE)</f>
        <v/>
      </c>
      <c r="P26" s="124" t="str">
        <f t="shared" si="4"/>
        <v/>
      </c>
      <c r="Q26" s="55" t="str">
        <f>IF(_xlfn.XLOOKUP(ROW(Q26)+1-ROW(Q$13),報告用!$AL$4:$AL$39,報告用!$E$4:$E$39,"",FALSE)=N26,"",_xlfn.XLOOKUP(ROW(Q26)+1-ROW(Q$13),報告用!$AL$4:$AL$39,報告用!$E$4:$E$39,"",FALSE))</f>
        <v/>
      </c>
    </row>
    <row r="27" spans="1:17" ht="19.5" customHeight="1" thickBot="1">
      <c r="A27" s="181"/>
      <c r="B27" s="172" t="str">
        <f>_xlfn.XLOOKUP(ROW(B27)+1-ROW(B$25),報告用!$AE$4:$AE$39,報告用!F$4:F$39,"",FALSE)</f>
        <v/>
      </c>
      <c r="C27" s="171" t="str">
        <f>_xlfn.XLOOKUP(ROW(C27)+1-ROW(C$25),報告用!$AE$4:$AE$39,報告用!G$4:G$39,"",FALSE)</f>
        <v/>
      </c>
      <c r="D27" s="134" t="str">
        <f>IF(C27="","","様")</f>
        <v/>
      </c>
      <c r="E27" s="173" t="str">
        <f>IF(_xlfn.XLOOKUP(ROW(E27)+1-ROW(E$25),報告用!$AE$4:$AE$39,報告用!E$4:E$39,"",FALSE)=B27,"",_xlfn.XLOOKUP(ROW(E27)+1-ROW(E$25),報告用!$AE$4:$AE$39,報告用!E$4:E$39,"",FALSE))</f>
        <v/>
      </c>
      <c r="F27" s="110"/>
      <c r="G27" s="181"/>
      <c r="H27" s="172" t="str">
        <f>_xlfn.XLOOKUP(ROW(H27)+1-ROW(H$13),報告用!$AK$4:$AK$39,報告用!$F$4:$F$39,"",FALSE)</f>
        <v/>
      </c>
      <c r="I27" s="171" t="str">
        <f>_xlfn.XLOOKUP(ROW(I27)+1-ROW(I$13),報告用!$AK$4:$AK$39,報告用!$G$4:$G$39,"",FALSE)</f>
        <v/>
      </c>
      <c r="J27" s="134" t="str">
        <f t="shared" si="3"/>
        <v/>
      </c>
      <c r="K27" s="173" t="str">
        <f>IF(_xlfn.XLOOKUP(ROW(K27)+1-ROW(K$13),報告用!$AK$4:$AK$39,報告用!$E$4:$E$39,"",FALSE)=H27,"",_xlfn.XLOOKUP(ROW(K27)+1-ROW(K$13),報告用!$AK$4:$AK$39,報告用!$E$4:$E$39,"",FALSE))</f>
        <v/>
      </c>
      <c r="L27" s="111"/>
      <c r="M27" s="181"/>
      <c r="N27" s="172" t="str">
        <f>_xlfn.XLOOKUP(ROW(N27)+1-ROW(N$13),報告用!$AL$4:$AL$39,報告用!$F$4:$F$39,"",FALSE)</f>
        <v/>
      </c>
      <c r="O27" s="171" t="str">
        <f>_xlfn.XLOOKUP(ROW(O27)+1-ROW(O$13),報告用!$AL$4:$AL$39,報告用!$G$4:$G$39,"",FALSE)</f>
        <v/>
      </c>
      <c r="P27" s="134" t="str">
        <f t="shared" si="4"/>
        <v/>
      </c>
      <c r="Q27" s="173" t="str">
        <f>IF(_xlfn.XLOOKUP(ROW(Q27)+1-ROW(Q$13),報告用!$AL$4:$AL$39,報告用!$E$4:$E$39,"",FALSE)=N27,"",_xlfn.XLOOKUP(ROW(Q27)+1-ROW(Q$13),報告用!$AL$4:$AL$39,報告用!$E$4:$E$39,"",FALSE))</f>
        <v/>
      </c>
    </row>
    <row r="28" spans="1:17" ht="19.5" customHeight="1">
      <c r="A28" s="110"/>
      <c r="B28" s="110"/>
      <c r="C28" s="110"/>
      <c r="D28" s="110"/>
      <c r="E28" s="110"/>
      <c r="F28" s="110"/>
      <c r="G28" s="192" t="s">
        <v>40</v>
      </c>
      <c r="H28" s="192"/>
      <c r="I28" s="192"/>
      <c r="J28" s="192"/>
      <c r="K28" s="192"/>
      <c r="L28" s="110"/>
      <c r="M28" s="110"/>
      <c r="N28" s="110"/>
      <c r="O28" s="110"/>
      <c r="P28" s="110"/>
      <c r="Q28" s="110"/>
    </row>
    <row r="29" spans="1:17" ht="19.5" customHeight="1" thickBot="1">
      <c r="A29" s="193" t="s">
        <v>50</v>
      </c>
      <c r="B29" s="193"/>
      <c r="C29" s="193"/>
      <c r="D29" s="193"/>
      <c r="E29" s="193"/>
      <c r="F29" s="110"/>
      <c r="G29" s="192"/>
      <c r="H29" s="192"/>
      <c r="I29" s="192"/>
      <c r="J29" s="192"/>
      <c r="K29" s="192"/>
      <c r="L29" s="110"/>
      <c r="M29" s="194">
        <f>報告用!$O$2</f>
        <v>46106</v>
      </c>
      <c r="N29" s="194"/>
      <c r="O29" s="194"/>
      <c r="P29" s="194"/>
      <c r="Q29" s="194"/>
    </row>
    <row r="30" spans="1:17" ht="19.5" customHeight="1">
      <c r="A30" s="186" t="s">
        <v>31</v>
      </c>
      <c r="B30" s="182" t="s">
        <v>38</v>
      </c>
      <c r="C30" s="182"/>
      <c r="D30" s="182"/>
      <c r="E30" s="183"/>
      <c r="F30" s="110"/>
      <c r="G30" s="186" t="s">
        <v>31</v>
      </c>
      <c r="H30" s="182" t="s">
        <v>39</v>
      </c>
      <c r="I30" s="182"/>
      <c r="J30" s="182"/>
      <c r="K30" s="183"/>
      <c r="L30" s="111"/>
      <c r="M30" s="186" t="s">
        <v>31</v>
      </c>
      <c r="N30" s="182" t="s">
        <v>22</v>
      </c>
      <c r="O30" s="182"/>
      <c r="P30" s="182"/>
      <c r="Q30" s="183"/>
    </row>
    <row r="31" spans="1:17" ht="19.5" customHeight="1" thickBot="1">
      <c r="A31" s="187"/>
      <c r="B31" s="112" t="s">
        <v>18</v>
      </c>
      <c r="C31" s="184" t="s">
        <v>17</v>
      </c>
      <c r="D31" s="185"/>
      <c r="E31" s="114" t="s">
        <v>30</v>
      </c>
      <c r="F31" s="110"/>
      <c r="G31" s="187"/>
      <c r="H31" s="112" t="s">
        <v>18</v>
      </c>
      <c r="I31" s="184" t="s">
        <v>17</v>
      </c>
      <c r="J31" s="185"/>
      <c r="K31" s="114" t="s">
        <v>30</v>
      </c>
      <c r="L31" s="111"/>
      <c r="M31" s="187"/>
      <c r="N31" s="112" t="s">
        <v>18</v>
      </c>
      <c r="O31" s="184" t="s">
        <v>17</v>
      </c>
      <c r="P31" s="185"/>
      <c r="Q31" s="114" t="s">
        <v>30</v>
      </c>
    </row>
    <row r="32" spans="1:17" ht="19.5" customHeight="1" thickTop="1">
      <c r="A32" s="201" t="s">
        <v>35</v>
      </c>
      <c r="B32" s="49">
        <f>_xlfn.XLOOKUP(ROW(B32)+1-ROW(B$32),報告用!$AH$4:$AH$39,報告用!$F$4:$F$39,"",FALSE)</f>
        <v>15</v>
      </c>
      <c r="C32" s="48" t="str">
        <f>_xlfn.XLOOKUP(ROW(C32)+1-ROW(C$32),報告用!$AH$4:$AH$39,報告用!$G$4:$G$39,"",FALSE)</f>
        <v>志村とも子</v>
      </c>
      <c r="D32" s="122" t="str">
        <f>IF(C32="","","様")</f>
        <v>様</v>
      </c>
      <c r="E32" s="50" t="str">
        <f>IF(_xlfn.XLOOKUP(ROW(E32)+1-ROW(E$32),報告用!$AH$4:$AH$39,報告用!$E$4:$E$39,"",FALSE)=B32,"",_xlfn.XLOOKUP(ROW(E32)+1-ROW(E$32),報告用!$AH$4:$AH$39,報告用!$E$4:$E$39,"",FALSE))</f>
        <v/>
      </c>
      <c r="F32" s="110"/>
      <c r="G32" s="201" t="s">
        <v>35</v>
      </c>
      <c r="H32" s="49">
        <f>_xlfn.XLOOKUP(ROW(H32)+1-ROW(H$32),報告用!$AI$4:$AI$39,報告用!$F$4:$F$39,"",FALSE)</f>
        <v>15</v>
      </c>
      <c r="I32" s="48" t="str">
        <f>_xlfn.XLOOKUP(ROW(I32)+1-ROW(I$32),報告用!$AI$4:$AI$39,報告用!$G$4:$G$39,"",FALSE)</f>
        <v>志村とも子</v>
      </c>
      <c r="J32" s="122" t="str">
        <f>IF(I32="","","様")</f>
        <v>様</v>
      </c>
      <c r="K32" s="50" t="str">
        <f>IF(_xlfn.XLOOKUP(ROW(K32)+1-ROW(K$32),報告用!$AI$4:$AI$39,報告用!$E$4:$E$39,"",FALSE)=H32,"",_xlfn.XLOOKUP(ROW(K32)+1-ROW(K$32),報告用!$AI$4:$AI$39,報告用!$E$4:$E$39,"",FALSE))</f>
        <v/>
      </c>
      <c r="L32" s="111"/>
      <c r="M32" s="201" t="s">
        <v>35</v>
      </c>
      <c r="N32" s="49">
        <f>_xlfn.XLOOKUP(ROW(N32)+1-ROW(N$32),報告用!$AJ$4:$AJ$39,報告用!$F$4:$F$39,"",FALSE)</f>
        <v>15</v>
      </c>
      <c r="O32" s="121"/>
      <c r="P32" s="122" t="str">
        <f>IF(O32="","","様")</f>
        <v/>
      </c>
      <c r="Q32" s="50" t="str">
        <f>IF(_xlfn.XLOOKUP(ROW(Q32)+1-ROW(Q$32),報告用!$AJ$4:$AJ$39,報告用!$E$4:$E$39,"",FALSE)=N32,"",_xlfn.XLOOKUP(ROW(Q32)+1-ROW(Q$32),報告用!$AJ$4:$AJ$39,報告用!$E$4:$E$39,"",FALSE))</f>
        <v/>
      </c>
    </row>
    <row r="33" spans="1:17" ht="19.5" customHeight="1">
      <c r="A33" s="180"/>
      <c r="B33" s="170">
        <f>_xlfn.XLOOKUP(ROW(B33)+1-ROW(B$32),報告用!$AH$4:$AH$39,報告用!$F$4:$F$39,"",FALSE)</f>
        <v>15</v>
      </c>
      <c r="C33" s="140" t="str">
        <f>_xlfn.XLOOKUP(ROW(C33)+1-ROW(C$32),報告用!$AH$4:$AH$39,報告用!$G$4:$G$39,"",FALSE)</f>
        <v>飯室　純江</v>
      </c>
      <c r="D33" s="124" t="str">
        <f t="shared" ref="D33:D39" si="6">IF(C33="","","様")</f>
        <v>様</v>
      </c>
      <c r="E33" s="47" t="str">
        <f>IF(_xlfn.XLOOKUP(ROW(E33)+1-ROW(E$32),報告用!$AH$4:$AH$39,報告用!$E$4:$E$39,"",FALSE)=B33,"",_xlfn.XLOOKUP(ROW(E33)+1-ROW(E$32),報告用!$AH$4:$AH$39,報告用!$E$4:$E$39,"",FALSE))</f>
        <v/>
      </c>
      <c r="F33" s="110"/>
      <c r="G33" s="180"/>
      <c r="H33" s="46">
        <f>_xlfn.XLOOKUP(ROW(H33)+1-ROW(H$32),報告用!$AI$4:$AI$39,報告用!$F$4:$F$39,"",FALSE)</f>
        <v>15</v>
      </c>
      <c r="I33" s="54" t="str">
        <f>_xlfn.XLOOKUP(ROW(I33)+1-ROW(I$32),報告用!$AI$4:$AI$39,報告用!$G$4:$G$39,"",FALSE)</f>
        <v>望月　美希</v>
      </c>
      <c r="J33" s="130" t="str">
        <f t="shared" ref="J33:J39" si="7">IF(I33="","","様")</f>
        <v>様</v>
      </c>
      <c r="K33" s="47" t="str">
        <f>IF(_xlfn.XLOOKUP(ROW(K33)+1-ROW(K$32),報告用!$AI$4:$AI$39,報告用!$E$4:$E$39,"",FALSE)=H33,"",_xlfn.XLOOKUP(ROW(K33)+1-ROW(K$32),報告用!$AI$4:$AI$39,報告用!$E$4:$E$39,"",FALSE))</f>
        <v/>
      </c>
      <c r="L33" s="111"/>
      <c r="M33" s="180"/>
      <c r="N33" s="46">
        <f>_xlfn.XLOOKUP(ROW(N33)+1-ROW(N$32),報告用!$AJ$4:$AJ$39,報告用!$F$4:$F$39,"",FALSE)</f>
        <v>16</v>
      </c>
      <c r="O33" s="54" t="str">
        <f>_xlfn.XLOOKUP(ROW(O33)+1-ROW(O$32),報告用!$AJ$4:$AJ$39,報告用!$G$4:$G$39,"",FALSE)</f>
        <v>里吉　松子</v>
      </c>
      <c r="P33" s="130" t="str">
        <f t="shared" ref="P33:P39" si="8">IF(O33="","","様")</f>
        <v>様</v>
      </c>
      <c r="Q33" s="47" t="str">
        <f>IF(_xlfn.XLOOKUP(ROW(Q33)+1-ROW(Q$32),報告用!$AJ$4:$AJ$39,報告用!$E$4:$E$39,"",FALSE)=N33,"",_xlfn.XLOOKUP(ROW(Q33)+1-ROW(Q$32),報告用!$AJ$4:$AJ$39,報告用!$E$4:$E$39,"",FALSE))</f>
        <v/>
      </c>
    </row>
    <row r="34" spans="1:17" ht="19.5" customHeight="1">
      <c r="A34" s="180"/>
      <c r="B34" s="170">
        <f>_xlfn.XLOOKUP(ROW(B34)+1-ROW(B$32),報告用!$AH$4:$AH$39,報告用!$F$4:$F$39,"",FALSE)</f>
        <v>16</v>
      </c>
      <c r="C34" s="140" t="str">
        <f>_xlfn.XLOOKUP(ROW(C34)+1-ROW(C$32),報告用!$AH$4:$AH$39,報告用!$G$4:$G$39,"",FALSE)</f>
        <v>里吉　松子</v>
      </c>
      <c r="D34" s="124" t="str">
        <f t="shared" si="6"/>
        <v>様</v>
      </c>
      <c r="E34" s="47" t="str">
        <f>IF(_xlfn.XLOOKUP(ROW(E34)+1-ROW(E$32),報告用!$AH$4:$AH$39,報告用!$E$4:$E$39,"",FALSE)=B34,"",_xlfn.XLOOKUP(ROW(E34)+1-ROW(E$32),報告用!$AH$4:$AH$39,報告用!$E$4:$E$39,"",FALSE))</f>
        <v/>
      </c>
      <c r="F34" s="110"/>
      <c r="G34" s="180"/>
      <c r="H34" s="46">
        <f>_xlfn.XLOOKUP(ROW(H34)+1-ROW(H$32),報告用!$AI$4:$AI$39,報告用!$F$4:$F$39,"",FALSE)</f>
        <v>16</v>
      </c>
      <c r="I34" s="54" t="str">
        <f>_xlfn.XLOOKUP(ROW(I34)+1-ROW(I$32),報告用!$AI$4:$AI$39,報告用!$G$4:$G$39,"",FALSE)</f>
        <v>里吉　松子</v>
      </c>
      <c r="J34" s="130" t="str">
        <f t="shared" si="7"/>
        <v>様</v>
      </c>
      <c r="K34" s="47" t="str">
        <f>IF(_xlfn.XLOOKUP(ROW(K34)+1-ROW(K$32),報告用!$AI$4:$AI$39,報告用!$E$4:$E$39,"",FALSE)=H34,"",_xlfn.XLOOKUP(ROW(K34)+1-ROW(K$32),報告用!$AI$4:$AI$39,報告用!$E$4:$E$39,"",FALSE))</f>
        <v/>
      </c>
      <c r="L34" s="111"/>
      <c r="M34" s="180"/>
      <c r="N34" s="46">
        <f>_xlfn.XLOOKUP(ROW(N34)+1-ROW(N$32),報告用!$AJ$4:$AJ$39,報告用!$F$4:$F$39,"",FALSE)</f>
        <v>16</v>
      </c>
      <c r="O34" s="54" t="str">
        <f>_xlfn.XLOOKUP(ROW(O34)+1-ROW(O$32),報告用!$AJ$4:$AJ$39,報告用!$G$4:$G$39,"",FALSE)</f>
        <v>森　たい子</v>
      </c>
      <c r="P34" s="130" t="str">
        <f t="shared" si="8"/>
        <v>様</v>
      </c>
      <c r="Q34" s="47" t="str">
        <f>IF(_xlfn.XLOOKUP(ROW(Q34)+1-ROW(Q$32),報告用!$AJ$4:$AJ$39,報告用!$E$4:$E$39,"",FALSE)=N34,"",_xlfn.XLOOKUP(ROW(Q34)+1-ROW(Q$32),報告用!$AJ$4:$AJ$39,報告用!$E$4:$E$39,"",FALSE))</f>
        <v/>
      </c>
    </row>
    <row r="35" spans="1:17" ht="19.5" customHeight="1">
      <c r="A35" s="180"/>
      <c r="B35" s="170">
        <f>_xlfn.XLOOKUP(ROW(B35)+1-ROW(B$32),報告用!$AH$4:$AH$39,報告用!$F$4:$F$39,"",FALSE)</f>
        <v>16</v>
      </c>
      <c r="C35" s="140" t="str">
        <f>_xlfn.XLOOKUP(ROW(C35)+1-ROW(C$32),報告用!$AH$4:$AH$39,報告用!$G$4:$G$39,"",FALSE)</f>
        <v>森　たい子</v>
      </c>
      <c r="D35" s="124" t="str">
        <f t="shared" si="6"/>
        <v>様</v>
      </c>
      <c r="E35" s="47" t="str">
        <f>IF(_xlfn.XLOOKUP(ROW(E35)+1-ROW(E$32),報告用!$AH$4:$AH$39,報告用!$E$4:$E$39,"",FALSE)=B35,"",_xlfn.XLOOKUP(ROW(E35)+1-ROW(E$32),報告用!$AH$4:$AH$39,報告用!$E$4:$E$39,"",FALSE))</f>
        <v/>
      </c>
      <c r="F35" s="110"/>
      <c r="G35" s="180"/>
      <c r="H35" s="46">
        <f>_xlfn.XLOOKUP(ROW(H35)+1-ROW(H$32),報告用!$AI$4:$AI$39,報告用!$F$4:$F$39,"",FALSE)</f>
        <v>16</v>
      </c>
      <c r="I35" s="54" t="str">
        <f>_xlfn.XLOOKUP(ROW(I35)+1-ROW(I$32),報告用!$AI$4:$AI$39,報告用!$G$4:$G$39,"",FALSE)</f>
        <v>森　たい子</v>
      </c>
      <c r="J35" s="130" t="str">
        <f t="shared" si="7"/>
        <v>様</v>
      </c>
      <c r="K35" s="47" t="str">
        <f>IF(_xlfn.XLOOKUP(ROW(K35)+1-ROW(K$32),報告用!$AI$4:$AI$39,報告用!$E$4:$E$39,"",FALSE)=H35,"",_xlfn.XLOOKUP(ROW(K35)+1-ROW(K$32),報告用!$AI$4:$AI$39,報告用!$E$4:$E$39,"",FALSE))</f>
        <v/>
      </c>
      <c r="L35" s="111"/>
      <c r="M35" s="180"/>
      <c r="N35" s="46">
        <f>_xlfn.XLOOKUP(ROW(N35)+1-ROW(N$32),報告用!$AJ$4:$AJ$39,報告用!$F$4:$F$39,"",FALSE)</f>
        <v>17</v>
      </c>
      <c r="O35" s="54" t="str">
        <f>_xlfn.XLOOKUP(ROW(O35)+1-ROW(O$32),報告用!$AJ$4:$AJ$39,報告用!$G$4:$G$39,"",FALSE)</f>
        <v>河野　秀夫</v>
      </c>
      <c r="P35" s="130" t="str">
        <f t="shared" si="8"/>
        <v>様</v>
      </c>
      <c r="Q35" s="47" t="str">
        <f>IF(_xlfn.XLOOKUP(ROW(Q35)+1-ROW(Q$32),報告用!$AJ$4:$AJ$39,報告用!$E$4:$E$39,"",FALSE)=N35,"",_xlfn.XLOOKUP(ROW(Q35)+1-ROW(Q$32),報告用!$AJ$4:$AJ$39,報告用!$E$4:$E$39,"",FALSE))</f>
        <v/>
      </c>
    </row>
    <row r="36" spans="1:17" ht="19.5" customHeight="1">
      <c r="A36" s="180"/>
      <c r="B36" s="170">
        <f>_xlfn.XLOOKUP(ROW(B36)+1-ROW(B$32),報告用!$AH$4:$AH$39,報告用!$F$4:$F$39,"",FALSE)</f>
        <v>17</v>
      </c>
      <c r="C36" s="140" t="str">
        <f>_xlfn.XLOOKUP(ROW(C36)+1-ROW(C$32),報告用!$AH$4:$AH$39,報告用!$G$4:$G$39,"",FALSE)</f>
        <v>河野　秀夫</v>
      </c>
      <c r="D36" s="124" t="str">
        <f t="shared" si="6"/>
        <v>様</v>
      </c>
      <c r="E36" s="47" t="str">
        <f>IF(_xlfn.XLOOKUP(ROW(E36)+1-ROW(E$32),報告用!$AH$4:$AH$39,報告用!$E$4:$E$39,"",FALSE)=B36,"",_xlfn.XLOOKUP(ROW(E36)+1-ROW(E$32),報告用!$AH$4:$AH$39,報告用!$E$4:$E$39,"",FALSE))</f>
        <v/>
      </c>
      <c r="F36" s="110"/>
      <c r="G36" s="180"/>
      <c r="H36" s="46">
        <f>_xlfn.XLOOKUP(ROW(H36)+1-ROW(H$32),報告用!$AI$4:$AI$39,報告用!$F$4:$F$39,"",FALSE)</f>
        <v>17</v>
      </c>
      <c r="I36" s="54" t="str">
        <f>_xlfn.XLOOKUP(ROW(I36)+1-ROW(I$32),報告用!$AI$4:$AI$39,報告用!$G$4:$G$39,"",FALSE)</f>
        <v>河野　秀夫</v>
      </c>
      <c r="J36" s="130" t="str">
        <f t="shared" si="7"/>
        <v>様</v>
      </c>
      <c r="K36" s="47" t="str">
        <f>IF(_xlfn.XLOOKUP(ROW(K36)+1-ROW(K$32),報告用!$AI$4:$AI$39,報告用!$E$4:$E$39,"",FALSE)=H36,"",_xlfn.XLOOKUP(ROW(K36)+1-ROW(K$32),報告用!$AI$4:$AI$39,報告用!$E$4:$E$39,"",FALSE))</f>
        <v/>
      </c>
      <c r="L36" s="111"/>
      <c r="M36" s="180"/>
      <c r="N36" s="46">
        <f>_xlfn.XLOOKUP(ROW(N36)+1-ROW(N$32),報告用!$AJ$4:$AJ$39,報告用!$F$4:$F$39,"",FALSE)</f>
        <v>17</v>
      </c>
      <c r="O36" s="54" t="str">
        <f>_xlfn.XLOOKUP(ROW(O36)+1-ROW(O$32),報告用!$AJ$4:$AJ$39,報告用!$G$4:$G$39,"",FALSE)</f>
        <v>斎藤　潤一</v>
      </c>
      <c r="P36" s="130" t="str">
        <f t="shared" si="8"/>
        <v>様</v>
      </c>
      <c r="Q36" s="47" t="str">
        <f>IF(_xlfn.XLOOKUP(ROW(Q36)+1-ROW(Q$32),報告用!$AJ$4:$AJ$39,報告用!$E$4:$E$39,"",FALSE)=N36,"",_xlfn.XLOOKUP(ROW(Q36)+1-ROW(Q$32),報告用!$AJ$4:$AJ$39,報告用!$E$4:$E$39,"",FALSE))</f>
        <v/>
      </c>
    </row>
    <row r="37" spans="1:17" ht="19.5" customHeight="1">
      <c r="A37" s="180"/>
      <c r="B37" s="170">
        <f>_xlfn.XLOOKUP(ROW(B37)+1-ROW(B$32),報告用!$AH$4:$AH$39,報告用!$F$4:$F$39,"",FALSE)</f>
        <v>17</v>
      </c>
      <c r="C37" s="140" t="str">
        <f>_xlfn.XLOOKUP(ROW(C37)+1-ROW(C$32),報告用!$AH$4:$AH$39,報告用!$G$4:$G$39,"",FALSE)</f>
        <v>斎藤　潤一</v>
      </c>
      <c r="D37" s="124" t="str">
        <f t="shared" si="6"/>
        <v>様</v>
      </c>
      <c r="E37" s="47" t="str">
        <f>IF(_xlfn.XLOOKUP(ROW(E37)+1-ROW(E$32),報告用!$AH$4:$AH$39,報告用!$E$4:$E$39,"",FALSE)=B37,"",_xlfn.XLOOKUP(ROW(E37)+1-ROW(E$32),報告用!$AH$4:$AH$39,報告用!$E$4:$E$39,"",FALSE))</f>
        <v/>
      </c>
      <c r="F37" s="110"/>
      <c r="G37" s="180"/>
      <c r="H37" s="46">
        <f>_xlfn.XLOOKUP(ROW(H37)+1-ROW(H$32),報告用!$AI$4:$AI$39,報告用!$F$4:$F$39,"",FALSE)</f>
        <v>17</v>
      </c>
      <c r="I37" s="54" t="str">
        <f>_xlfn.XLOOKUP(ROW(I37)+1-ROW(I$32),報告用!$AI$4:$AI$39,報告用!$G$4:$G$39,"",FALSE)</f>
        <v>斎藤　潤一</v>
      </c>
      <c r="J37" s="130" t="str">
        <f t="shared" si="7"/>
        <v>様</v>
      </c>
      <c r="K37" s="47" t="str">
        <f>IF(_xlfn.XLOOKUP(ROW(K37)+1-ROW(K$32),報告用!$AI$4:$AI$39,報告用!$E$4:$E$39,"",FALSE)=H37,"",_xlfn.XLOOKUP(ROW(K37)+1-ROW(K$32),報告用!$AI$4:$AI$39,報告用!$E$4:$E$39,"",FALSE))</f>
        <v/>
      </c>
      <c r="L37" s="111"/>
      <c r="M37" s="180"/>
      <c r="N37" s="46">
        <f>_xlfn.XLOOKUP(ROW(N37)+1-ROW(N$32),報告用!$AJ$4:$AJ$39,報告用!$F$4:$F$39,"",FALSE)</f>
        <v>17</v>
      </c>
      <c r="O37" s="54" t="str">
        <f>_xlfn.XLOOKUP(ROW(O37)+1-ROW(O$32),報告用!$AJ$4:$AJ$39,報告用!$G$4:$G$39,"",FALSE)</f>
        <v>小澤　俊治</v>
      </c>
      <c r="P37" s="130" t="str">
        <f t="shared" si="8"/>
        <v>様</v>
      </c>
      <c r="Q37" s="47" t="str">
        <f>IF(_xlfn.XLOOKUP(ROW(Q37)+1-ROW(Q$32),報告用!$AJ$4:$AJ$39,報告用!$E$4:$E$39,"",FALSE)=N37,"",_xlfn.XLOOKUP(ROW(Q37)+1-ROW(Q$32),報告用!$AJ$4:$AJ$39,報告用!$E$4:$E$39,"",FALSE))</f>
        <v/>
      </c>
    </row>
    <row r="38" spans="1:17" ht="19.5" customHeight="1">
      <c r="A38" s="180"/>
      <c r="B38" s="170">
        <f>_xlfn.XLOOKUP(ROW(B38)+1-ROW(B$32),報告用!$AH$4:$AH$39,報告用!$F$4:$F$39,"",FALSE)</f>
        <v>17</v>
      </c>
      <c r="C38" s="140" t="str">
        <f>_xlfn.XLOOKUP(ROW(C38)+1-ROW(C$32),報告用!$AH$4:$AH$39,報告用!$G$4:$G$39,"",FALSE)</f>
        <v>小澤　俊治</v>
      </c>
      <c r="D38" s="124" t="str">
        <f t="shared" si="6"/>
        <v>様</v>
      </c>
      <c r="E38" s="47" t="str">
        <f>IF(_xlfn.XLOOKUP(ROW(E38)+1-ROW(E$32),報告用!$AH$4:$AH$39,報告用!$E$4:$E$39,"",FALSE)=B38,"",_xlfn.XLOOKUP(ROW(E38)+1-ROW(E$32),報告用!$AH$4:$AH$39,報告用!$E$4:$E$39,"",FALSE))</f>
        <v/>
      </c>
      <c r="F38" s="110"/>
      <c r="G38" s="180"/>
      <c r="H38" s="46">
        <f>_xlfn.XLOOKUP(ROW(H38)+1-ROW(H$32),報告用!$AI$4:$AI$39,報告用!$F$4:$F$39,"",FALSE)</f>
        <v>17</v>
      </c>
      <c r="I38" s="54" t="str">
        <f>_xlfn.XLOOKUP(ROW(I38)+1-ROW(I$32),報告用!$AI$4:$AI$39,報告用!$G$4:$G$39,"",FALSE)</f>
        <v>小澤　俊治</v>
      </c>
      <c r="J38" s="130" t="str">
        <f t="shared" si="7"/>
        <v>様</v>
      </c>
      <c r="K38" s="47" t="str">
        <f>IF(_xlfn.XLOOKUP(ROW(K38)+1-ROW(K$32),報告用!$AI$4:$AI$39,報告用!$E$4:$E$39,"",FALSE)=H38,"",_xlfn.XLOOKUP(ROW(K38)+1-ROW(K$32),報告用!$AI$4:$AI$39,報告用!$E$4:$E$39,"",FALSE))</f>
        <v/>
      </c>
      <c r="L38" s="111"/>
      <c r="M38" s="180"/>
      <c r="N38" s="46">
        <f>_xlfn.XLOOKUP(ROW(N38)+1-ROW(N$32),報告用!$AJ$4:$AJ$39,報告用!$F$4:$F$39,"",FALSE)</f>
        <v>18</v>
      </c>
      <c r="O38" s="54" t="str">
        <f>_xlfn.XLOOKUP(ROW(O38)+1-ROW(O$32),報告用!$AJ$4:$AJ$39,報告用!$G$4:$G$39,"",FALSE)</f>
        <v>吉井　用子</v>
      </c>
      <c r="P38" s="130" t="str">
        <f t="shared" si="8"/>
        <v>様</v>
      </c>
      <c r="Q38" s="47" t="str">
        <f>IF(_xlfn.XLOOKUP(ROW(Q38)+1-ROW(Q$32),報告用!$AJ$4:$AJ$39,報告用!$E$4:$E$39,"",FALSE)=N38,"",_xlfn.XLOOKUP(ROW(Q38)+1-ROW(Q$32),報告用!$AJ$4:$AJ$39,報告用!$E$4:$E$39,"",FALSE))</f>
        <v/>
      </c>
    </row>
    <row r="39" spans="1:17" ht="19.5" customHeight="1" thickBot="1">
      <c r="A39" s="187"/>
      <c r="B39" s="174">
        <f>_xlfn.XLOOKUP(ROW(B39)+1-ROW(B$32),報告用!$AH$4:$AH$39,報告用!$F$4:$F$39,"",FALSE)</f>
        <v>18</v>
      </c>
      <c r="C39" s="176" t="str">
        <f>_xlfn.XLOOKUP(ROW(C39)+1-ROW(C$32),報告用!$AH$4:$AH$39,報告用!$G$4:$G$39,"",FALSE)</f>
        <v>吉井　用子</v>
      </c>
      <c r="D39" s="127" t="str">
        <f t="shared" si="6"/>
        <v>様</v>
      </c>
      <c r="E39" s="53" t="str">
        <f>IF(_xlfn.XLOOKUP(ROW(E39)+1-ROW(E$32),報告用!$AH$4:$AH$39,報告用!$E$4:$E$39,"",FALSE)=B39,"",_xlfn.XLOOKUP(ROW(E39)+1-ROW(E$32),報告用!$AH$4:$AH$39,報告用!$E$4:$E$39,"",FALSE))</f>
        <v/>
      </c>
      <c r="F39" s="110"/>
      <c r="G39" s="187"/>
      <c r="H39" s="52">
        <f>_xlfn.XLOOKUP(ROW(H39)+1-ROW(H$32),報告用!$AI$4:$AI$39,報告用!$F$4:$F$39,"",FALSE)</f>
        <v>18</v>
      </c>
      <c r="I39" s="51" t="str">
        <f>_xlfn.XLOOKUP(ROW(I39)+1-ROW(I$32),報告用!$AI$4:$AI$39,報告用!$G$4:$G$39,"",FALSE)</f>
        <v>吉井　用子</v>
      </c>
      <c r="J39" s="113" t="str">
        <f t="shared" si="7"/>
        <v>様</v>
      </c>
      <c r="K39" s="53" t="str">
        <f>IF(_xlfn.XLOOKUP(ROW(K39)+1-ROW(K$32),報告用!$AI$4:$AI$39,報告用!$E$4:$E$39,"",FALSE)=H39,"",_xlfn.XLOOKUP(ROW(K39)+1-ROW(K$32),報告用!$AI$4:$AI$39,報告用!$E$4:$E$39,"",FALSE))</f>
        <v/>
      </c>
      <c r="L39" s="111"/>
      <c r="M39" s="187"/>
      <c r="N39" s="52">
        <f>_xlfn.XLOOKUP(ROW(N39)+1-ROW(N$32),報告用!$AJ$4:$AJ$39,報告用!$F$4:$F$39,"",FALSE)</f>
        <v>18</v>
      </c>
      <c r="O39" s="51" t="str">
        <f>_xlfn.XLOOKUP(ROW(O39)+1-ROW(O$32),報告用!$AJ$4:$AJ$39,報告用!$G$4:$G$39,"",FALSE)</f>
        <v>山本　たみ子</v>
      </c>
      <c r="P39" s="113" t="str">
        <f t="shared" si="8"/>
        <v>様</v>
      </c>
      <c r="Q39" s="53" t="str">
        <f>IF(_xlfn.XLOOKUP(ROW(Q39)+1-ROW(Q$32),報告用!$AJ$4:$AJ$39,報告用!$E$4:$E$39,"",FALSE)=N39,"",_xlfn.XLOOKUP(ROW(Q39)+1-ROW(Q$32),報告用!$AJ$4:$AJ$39,報告用!$E$4:$E$39,"",FALSE))</f>
        <v/>
      </c>
    </row>
    <row r="40" spans="1:17" ht="19.5" customHeight="1" thickTop="1">
      <c r="A40" s="179" t="s">
        <v>25</v>
      </c>
      <c r="B40" s="170">
        <f>_xlfn.XLOOKUP(ROW(B40)+1-ROW(B$40),報告用!$AM$4:$AM$39,報告用!$F$4:$F$39,"",FALSE)</f>
        <v>15</v>
      </c>
      <c r="C40" s="140" t="str">
        <f>_xlfn.XLOOKUP(ROW(C40)+1-ROW(C$40),報告用!$AM$4:$AM$39,報告用!$G$4:$G$39,"",FALSE)</f>
        <v>志村とも子</v>
      </c>
      <c r="D40" s="124" t="str">
        <f>IF(C40="","","様")</f>
        <v>様</v>
      </c>
      <c r="E40" s="55" t="str">
        <f>IF(_xlfn.XLOOKUP(ROW(E40)+1-ROW(E$40),報告用!$AM$4:$AM$39,報告用!$E$4:$E$39,"",FALSE)=B40,"",_xlfn.XLOOKUP(ROW(E40)+1-ROW(E$40),報告用!$AM$4:$AM$39,報告用!$E$4:$E$39,"",FALSE))</f>
        <v/>
      </c>
      <c r="F40" s="110"/>
      <c r="G40" s="179" t="s">
        <v>25</v>
      </c>
      <c r="H40" s="170">
        <f>_xlfn.XLOOKUP(ROW(H40)+1-ROW(H$40),報告用!$AN$4:$AN$39,報告用!$F$4:$F$39,"",FALSE)</f>
        <v>15</v>
      </c>
      <c r="I40" s="140" t="str">
        <f>_xlfn.XLOOKUP(ROW(I40)+1-ROW(I$40),報告用!$AN$4:$AN$39,報告用!$G$4:$G$39,"",FALSE)</f>
        <v>志村とも子</v>
      </c>
      <c r="J40" s="124" t="str">
        <f>IF(I40="","","様")</f>
        <v>様</v>
      </c>
      <c r="K40" s="55" t="str">
        <f>IF(_xlfn.XLOOKUP(ROW(K40)+1-ROW(K$40),報告用!$AN$4:$AN$39,報告用!$E$4:$E$39,"",FALSE)=H40,"",_xlfn.XLOOKUP(ROW(K40)+1-ROW(K$40),報告用!$AN$4:$AN$39,報告用!$E$4:$E$39,"",FALSE))</f>
        <v/>
      </c>
      <c r="L40" s="111"/>
      <c r="M40" s="179" t="s">
        <v>25</v>
      </c>
      <c r="N40" s="170">
        <f>_xlfn.XLOOKUP(ROW(N40)+1-ROW(N$40),報告用!$AO$4:$AO$39,報告用!$F$4:$F$39,"",FALSE)</f>
        <v>15</v>
      </c>
      <c r="O40" s="140" t="str">
        <f>_xlfn.XLOOKUP(ROW(O40)+1-ROW(O$40),報告用!$AO$4:$AO$39,報告用!$G$4:$G$39,"",FALSE)</f>
        <v>志村とも子</v>
      </c>
      <c r="P40" s="124" t="str">
        <f>IF(O40="","","様")</f>
        <v>様</v>
      </c>
      <c r="Q40" s="55" t="str">
        <f>IF(_xlfn.XLOOKUP(ROW(Q40)+1-ROW(Q$40),報告用!$AO$4:$AO$39,報告用!$E$4:$E$39,"",FALSE)=N40,"",_xlfn.XLOOKUP(ROW(Q40)+1-ROW(Q$40),報告用!$AO$4:$AO$39,報告用!$E$4:$E$39,"",FALSE))</f>
        <v/>
      </c>
    </row>
    <row r="41" spans="1:17" ht="19.5" customHeight="1">
      <c r="A41" s="180"/>
      <c r="B41" s="170">
        <f>_xlfn.XLOOKUP(ROW(B41)+1-ROW(B$40),報告用!$AM$4:$AM$39,報告用!$F$4:$F$39,"",FALSE)</f>
        <v>15</v>
      </c>
      <c r="C41" s="140" t="str">
        <f>_xlfn.XLOOKUP(ROW(C41)+1-ROW(C$40),報告用!$AM$4:$AM$39,報告用!$G$4:$G$39,"",FALSE)</f>
        <v>佐藤　亜美</v>
      </c>
      <c r="D41" s="124" t="str">
        <f t="shared" ref="D41:D54" si="9">IF(C41="","","様")</f>
        <v>様</v>
      </c>
      <c r="E41" s="55" t="str">
        <f>IF(_xlfn.XLOOKUP(ROW(E41)+1-ROW(E$40),報告用!$AM$4:$AM$39,報告用!$E$4:$E$39,"",FALSE)=B41,"",_xlfn.XLOOKUP(ROW(E41)+1-ROW(E$40),報告用!$AM$4:$AM$39,報告用!$E$4:$E$39,"",FALSE))</f>
        <v/>
      </c>
      <c r="F41" s="110"/>
      <c r="G41" s="180"/>
      <c r="H41" s="170">
        <f>_xlfn.XLOOKUP(ROW(H41)+1-ROW(H$40),報告用!$AN$4:$AN$39,報告用!$F$4:$F$39,"",FALSE)</f>
        <v>15</v>
      </c>
      <c r="I41" s="140" t="str">
        <f>_xlfn.XLOOKUP(ROW(I41)+1-ROW(I$40),報告用!$AN$4:$AN$39,報告用!$G$4:$G$39,"",FALSE)</f>
        <v>佐藤　亜美</v>
      </c>
      <c r="J41" s="124" t="str">
        <f t="shared" ref="J41:J54" si="10">IF(I41="","","様")</f>
        <v>様</v>
      </c>
      <c r="K41" s="55" t="str">
        <f>IF(_xlfn.XLOOKUP(ROW(K41)+1-ROW(K$40),報告用!$AN$4:$AN$39,報告用!$E$4:$E$39,"",FALSE)=H41,"",_xlfn.XLOOKUP(ROW(K41)+1-ROW(K$40),報告用!$AN$4:$AN$39,報告用!$E$4:$E$39,"",FALSE))</f>
        <v/>
      </c>
      <c r="L41" s="111"/>
      <c r="M41" s="180"/>
      <c r="N41" s="170">
        <f>_xlfn.XLOOKUP(ROW(N41)+1-ROW(N$40),報告用!$AO$4:$AO$39,報告用!$F$4:$F$39,"",FALSE)</f>
        <v>15</v>
      </c>
      <c r="O41" s="140" t="str">
        <f>_xlfn.XLOOKUP(ROW(O41)+1-ROW(O$40),報告用!$AO$4:$AO$39,報告用!$G$4:$G$39,"",FALSE)</f>
        <v>佐藤　亜美</v>
      </c>
      <c r="P41" s="124" t="str">
        <f t="shared" ref="P41:P54" si="11">IF(O41="","","様")</f>
        <v>様</v>
      </c>
      <c r="Q41" s="55" t="str">
        <f>IF(_xlfn.XLOOKUP(ROW(Q41)+1-ROW(Q$40),報告用!$AO$4:$AO$39,報告用!$E$4:$E$39,"",FALSE)=N41,"",_xlfn.XLOOKUP(ROW(Q41)+1-ROW(Q$40),報告用!$AO$4:$AO$39,報告用!$E$4:$E$39,"",FALSE))</f>
        <v/>
      </c>
    </row>
    <row r="42" spans="1:17" ht="19.5" customHeight="1">
      <c r="A42" s="180"/>
      <c r="B42" s="170">
        <f>_xlfn.XLOOKUP(ROW(B42)+1-ROW(B$40),報告用!$AM$4:$AM$39,報告用!$F$4:$F$39,"",FALSE)</f>
        <v>16</v>
      </c>
      <c r="C42" s="140" t="str">
        <f>_xlfn.XLOOKUP(ROW(C42)+1-ROW(C$40),報告用!$AM$4:$AM$39,報告用!$G$4:$G$39,"",FALSE)</f>
        <v>笠井　京子</v>
      </c>
      <c r="D42" s="124" t="str">
        <f t="shared" si="9"/>
        <v>様</v>
      </c>
      <c r="E42" s="55" t="str">
        <f>IF(_xlfn.XLOOKUP(ROW(E42)+1-ROW(E$40),報告用!$AM$4:$AM$39,報告用!$E$4:$E$39,"",FALSE)=B42,"",_xlfn.XLOOKUP(ROW(E42)+1-ROW(E$40),報告用!$AM$4:$AM$39,報告用!$E$4:$E$39,"",FALSE))</f>
        <v/>
      </c>
      <c r="F42" s="110"/>
      <c r="G42" s="180"/>
      <c r="H42" s="170">
        <f>_xlfn.XLOOKUP(ROW(H42)+1-ROW(H$40),報告用!$AN$4:$AN$39,報告用!$F$4:$F$39,"",FALSE)</f>
        <v>16</v>
      </c>
      <c r="I42" s="140" t="str">
        <f>_xlfn.XLOOKUP(ROW(I42)+1-ROW(I$40),報告用!$AN$4:$AN$39,報告用!$G$4:$G$39,"",FALSE)</f>
        <v>牛山　はつ子</v>
      </c>
      <c r="J42" s="124" t="str">
        <f t="shared" si="10"/>
        <v>様</v>
      </c>
      <c r="K42" s="55" t="str">
        <f>IF(_xlfn.XLOOKUP(ROW(K42)+1-ROW(K$40),報告用!$AN$4:$AN$39,報告用!$E$4:$E$39,"",FALSE)=H42,"",_xlfn.XLOOKUP(ROW(K42)+1-ROW(K$40),報告用!$AN$4:$AN$39,報告用!$E$4:$E$39,"",FALSE))</f>
        <v/>
      </c>
      <c r="L42" s="111"/>
      <c r="M42" s="180"/>
      <c r="N42" s="170">
        <f>_xlfn.XLOOKUP(ROW(N42)+1-ROW(N$40),報告用!$AO$4:$AO$39,報告用!$F$4:$F$39,"",FALSE)</f>
        <v>16</v>
      </c>
      <c r="O42" s="140" t="str">
        <f>_xlfn.XLOOKUP(ROW(O42)+1-ROW(O$40),報告用!$AO$4:$AO$39,報告用!$G$4:$G$39,"",FALSE)</f>
        <v>笠井　京子</v>
      </c>
      <c r="P42" s="124" t="str">
        <f t="shared" si="11"/>
        <v>様</v>
      </c>
      <c r="Q42" s="55" t="str">
        <f>IF(_xlfn.XLOOKUP(ROW(Q42)+1-ROW(Q$40),報告用!$AO$4:$AO$39,報告用!$E$4:$E$39,"",FALSE)=N42,"",_xlfn.XLOOKUP(ROW(Q42)+1-ROW(Q$40),報告用!$AO$4:$AO$39,報告用!$E$4:$E$39,"",FALSE))</f>
        <v/>
      </c>
    </row>
    <row r="43" spans="1:17" ht="19.5" customHeight="1">
      <c r="A43" s="180"/>
      <c r="B43" s="170">
        <f>_xlfn.XLOOKUP(ROW(B43)+1-ROW(B$40),報告用!$AM$4:$AM$39,報告用!$F$4:$F$39,"",FALSE)</f>
        <v>16</v>
      </c>
      <c r="C43" s="140" t="str">
        <f>_xlfn.XLOOKUP(ROW(C43)+1-ROW(C$40),報告用!$AM$4:$AM$39,報告用!$G$4:$G$39,"",FALSE)</f>
        <v>牛山　はつ子</v>
      </c>
      <c r="D43" s="124" t="str">
        <f t="shared" si="9"/>
        <v>様</v>
      </c>
      <c r="E43" s="55" t="str">
        <f>IF(_xlfn.XLOOKUP(ROW(E43)+1-ROW(E$40),報告用!$AM$4:$AM$39,報告用!$E$4:$E$39,"",FALSE)=B43,"",_xlfn.XLOOKUP(ROW(E43)+1-ROW(E$40),報告用!$AM$4:$AM$39,報告用!$E$4:$E$39,"",FALSE))</f>
        <v/>
      </c>
      <c r="F43" s="110"/>
      <c r="G43" s="180"/>
      <c r="H43" s="170">
        <f>_xlfn.XLOOKUP(ROW(H43)+1-ROW(H$40),報告用!$AN$4:$AN$39,報告用!$F$4:$F$39,"",FALSE)</f>
        <v>16</v>
      </c>
      <c r="I43" s="140" t="str">
        <f>_xlfn.XLOOKUP(ROW(I43)+1-ROW(I$40),報告用!$AN$4:$AN$39,報告用!$G$4:$G$39,"",FALSE)</f>
        <v>西山　望</v>
      </c>
      <c r="J43" s="124" t="str">
        <f t="shared" si="10"/>
        <v>様</v>
      </c>
      <c r="K43" s="55" t="str">
        <f>IF(_xlfn.XLOOKUP(ROW(K43)+1-ROW(K$40),報告用!$AN$4:$AN$39,報告用!$E$4:$E$39,"",FALSE)=H43,"",_xlfn.XLOOKUP(ROW(K43)+1-ROW(K$40),報告用!$AN$4:$AN$39,報告用!$E$4:$E$39,"",FALSE))</f>
        <v/>
      </c>
      <c r="L43" s="111"/>
      <c r="M43" s="180"/>
      <c r="N43" s="170">
        <f>_xlfn.XLOOKUP(ROW(N43)+1-ROW(N$40),報告用!$AO$4:$AO$39,報告用!$F$4:$F$39,"",FALSE)</f>
        <v>16</v>
      </c>
      <c r="O43" s="140" t="str">
        <f>_xlfn.XLOOKUP(ROW(O43)+1-ROW(O$40),報告用!$AO$4:$AO$39,報告用!$G$4:$G$39,"",FALSE)</f>
        <v>牛山　はつ子</v>
      </c>
      <c r="P43" s="124" t="str">
        <f t="shared" si="11"/>
        <v>様</v>
      </c>
      <c r="Q43" s="55" t="str">
        <f>IF(_xlfn.XLOOKUP(ROW(Q43)+1-ROW(Q$40),報告用!$AO$4:$AO$39,報告用!$E$4:$E$39,"",FALSE)=N43,"",_xlfn.XLOOKUP(ROW(Q43)+1-ROW(Q$40),報告用!$AO$4:$AO$39,報告用!$E$4:$E$39,"",FALSE))</f>
        <v/>
      </c>
    </row>
    <row r="44" spans="1:17" ht="19.5" customHeight="1">
      <c r="A44" s="180"/>
      <c r="B44" s="170">
        <f>_xlfn.XLOOKUP(ROW(B44)+1-ROW(B$40),報告用!$AM$4:$AM$39,報告用!$F$4:$F$39,"",FALSE)</f>
        <v>16</v>
      </c>
      <c r="C44" s="140" t="str">
        <f>_xlfn.XLOOKUP(ROW(C44)+1-ROW(C$40),報告用!$AM$4:$AM$39,報告用!$G$4:$G$39,"",FALSE)</f>
        <v>西山　望</v>
      </c>
      <c r="D44" s="124" t="str">
        <f t="shared" si="9"/>
        <v>様</v>
      </c>
      <c r="E44" s="55" t="str">
        <f>IF(_xlfn.XLOOKUP(ROW(E44)+1-ROW(E$40),報告用!$AM$4:$AM$39,報告用!$E$4:$E$39,"",FALSE)=B44,"",_xlfn.XLOOKUP(ROW(E44)+1-ROW(E$40),報告用!$AM$4:$AM$39,報告用!$E$4:$E$39,"",FALSE))</f>
        <v/>
      </c>
      <c r="F44" s="110"/>
      <c r="G44" s="180"/>
      <c r="H44" s="170">
        <f>_xlfn.XLOOKUP(ROW(H44)+1-ROW(H$40),報告用!$AN$4:$AN$39,報告用!$F$4:$F$39,"",FALSE)</f>
        <v>17</v>
      </c>
      <c r="I44" s="140" t="str">
        <f>_xlfn.XLOOKUP(ROW(I44)+1-ROW(I$40),報告用!$AN$4:$AN$39,報告用!$G$4:$G$39,"",FALSE)</f>
        <v>斎藤　潤一</v>
      </c>
      <c r="J44" s="124" t="str">
        <f t="shared" si="10"/>
        <v>様</v>
      </c>
      <c r="K44" s="55" t="str">
        <f>IF(_xlfn.XLOOKUP(ROW(K44)+1-ROW(K$40),報告用!$AN$4:$AN$39,報告用!$E$4:$E$39,"",FALSE)=H44,"",_xlfn.XLOOKUP(ROW(K44)+1-ROW(K$40),報告用!$AN$4:$AN$39,報告用!$E$4:$E$39,"",FALSE))</f>
        <v/>
      </c>
      <c r="L44" s="111"/>
      <c r="M44" s="180"/>
      <c r="N44" s="170">
        <f>_xlfn.XLOOKUP(ROW(N44)+1-ROW(N$40),報告用!$AO$4:$AO$39,報告用!$F$4:$F$39,"",FALSE)</f>
        <v>16</v>
      </c>
      <c r="O44" s="140" t="str">
        <f>_xlfn.XLOOKUP(ROW(O44)+1-ROW(O$40),報告用!$AO$4:$AO$39,報告用!$G$4:$G$39,"",FALSE)</f>
        <v>西山　望</v>
      </c>
      <c r="P44" s="124" t="str">
        <f t="shared" si="11"/>
        <v>様</v>
      </c>
      <c r="Q44" s="55" t="str">
        <f>IF(_xlfn.XLOOKUP(ROW(Q44)+1-ROW(Q$40),報告用!$AO$4:$AO$39,報告用!$E$4:$E$39,"",FALSE)=N44,"",_xlfn.XLOOKUP(ROW(Q44)+1-ROW(Q$40),報告用!$AO$4:$AO$39,報告用!$E$4:$E$39,"",FALSE))</f>
        <v/>
      </c>
    </row>
    <row r="45" spans="1:17" ht="19.5" customHeight="1">
      <c r="A45" s="180"/>
      <c r="B45" s="170">
        <f>_xlfn.XLOOKUP(ROW(B45)+1-ROW(B$40),報告用!$AM$4:$AM$39,報告用!$F$4:$F$39,"",FALSE)</f>
        <v>17</v>
      </c>
      <c r="C45" s="140" t="str">
        <f>_xlfn.XLOOKUP(ROW(C45)+1-ROW(C$40),報告用!$AM$4:$AM$39,報告用!$G$4:$G$39,"",FALSE)</f>
        <v>斎藤　潤一</v>
      </c>
      <c r="D45" s="124" t="str">
        <f t="shared" si="9"/>
        <v>様</v>
      </c>
      <c r="E45" s="55" t="str">
        <f>IF(_xlfn.XLOOKUP(ROW(E45)+1-ROW(E$40),報告用!$AM$4:$AM$39,報告用!$E$4:$E$39,"",FALSE)=B45,"",_xlfn.XLOOKUP(ROW(E45)+1-ROW(E$40),報告用!$AM$4:$AM$39,報告用!$E$4:$E$39,"",FALSE))</f>
        <v/>
      </c>
      <c r="F45" s="110"/>
      <c r="G45" s="180"/>
      <c r="H45" s="170">
        <f>_xlfn.XLOOKUP(ROW(H45)+1-ROW(H$40),報告用!$AN$4:$AN$39,報告用!$F$4:$F$39,"",FALSE)</f>
        <v>18</v>
      </c>
      <c r="I45" s="140" t="str">
        <f>_xlfn.XLOOKUP(ROW(I45)+1-ROW(I$40),報告用!$AN$4:$AN$39,報告用!$G$4:$G$39,"",FALSE)</f>
        <v>中澤　和江</v>
      </c>
      <c r="J45" s="124" t="str">
        <f t="shared" si="10"/>
        <v>様</v>
      </c>
      <c r="K45" s="55">
        <f>IF(_xlfn.XLOOKUP(ROW(K45)+1-ROW(K$40),報告用!$AN$4:$AN$39,報告用!$E$4:$E$39,"",FALSE)=H45,"",_xlfn.XLOOKUP(ROW(K45)+1-ROW(K$40),報告用!$AN$4:$AN$39,報告用!$E$4:$E$39,"",FALSE))</f>
        <v>17</v>
      </c>
      <c r="L45" s="111"/>
      <c r="M45" s="180"/>
      <c r="N45" s="170">
        <f>_xlfn.XLOOKUP(ROW(N45)+1-ROW(N$40),報告用!$AO$4:$AO$39,報告用!$F$4:$F$39,"",FALSE)</f>
        <v>17</v>
      </c>
      <c r="O45" s="140" t="str">
        <f>_xlfn.XLOOKUP(ROW(O45)+1-ROW(O$40),報告用!$AO$4:$AO$39,報告用!$G$4:$G$39,"",FALSE)</f>
        <v>斎藤　潤一</v>
      </c>
      <c r="P45" s="124" t="str">
        <f t="shared" si="11"/>
        <v>様</v>
      </c>
      <c r="Q45" s="55" t="str">
        <f>IF(_xlfn.XLOOKUP(ROW(Q45)+1-ROW(Q$40),報告用!$AO$4:$AO$39,報告用!$E$4:$E$39,"",FALSE)=N45,"",_xlfn.XLOOKUP(ROW(Q45)+1-ROW(Q$40),報告用!$AO$4:$AO$39,報告用!$E$4:$E$39,"",FALSE))</f>
        <v/>
      </c>
    </row>
    <row r="46" spans="1:17" ht="19.5" customHeight="1">
      <c r="A46" s="180"/>
      <c r="B46" s="170">
        <f>_xlfn.XLOOKUP(ROW(B46)+1-ROW(B$40),報告用!$AM$4:$AM$39,報告用!$F$4:$F$39,"",FALSE)</f>
        <v>18</v>
      </c>
      <c r="C46" s="140" t="str">
        <f>_xlfn.XLOOKUP(ROW(C46)+1-ROW(C$40),報告用!$AM$4:$AM$39,報告用!$G$4:$G$39,"",FALSE)</f>
        <v>中澤　和江</v>
      </c>
      <c r="D46" s="124" t="str">
        <f t="shared" si="9"/>
        <v>様</v>
      </c>
      <c r="E46" s="55">
        <f>IF(_xlfn.XLOOKUP(ROW(E46)+1-ROW(E$40),報告用!$AM$4:$AM$39,報告用!$E$4:$E$39,"",FALSE)=B46,"",_xlfn.XLOOKUP(ROW(E46)+1-ROW(E$40),報告用!$AM$4:$AM$39,報告用!$E$4:$E$39,"",FALSE))</f>
        <v>17</v>
      </c>
      <c r="F46" s="110"/>
      <c r="G46" s="180"/>
      <c r="H46" s="170">
        <f>_xlfn.XLOOKUP(ROW(H46)+1-ROW(H$40),報告用!$AN$4:$AN$39,報告用!$F$4:$F$39,"",FALSE)</f>
        <v>18</v>
      </c>
      <c r="I46" s="140" t="str">
        <f>_xlfn.XLOOKUP(ROW(I46)+1-ROW(I$40),報告用!$AN$4:$AN$39,報告用!$G$4:$G$39,"",FALSE)</f>
        <v>山本　たみ子</v>
      </c>
      <c r="J46" s="124" t="str">
        <f t="shared" si="10"/>
        <v>様</v>
      </c>
      <c r="K46" s="55" t="str">
        <f>IF(_xlfn.XLOOKUP(ROW(K46)+1-ROW(K$40),報告用!$AN$4:$AN$39,報告用!$E$4:$E$39,"",FALSE)=H46,"",_xlfn.XLOOKUP(ROW(K46)+1-ROW(K$40),報告用!$AN$4:$AN$39,報告用!$E$4:$E$39,"",FALSE))</f>
        <v/>
      </c>
      <c r="L46" s="111"/>
      <c r="M46" s="180"/>
      <c r="N46" s="170">
        <f>_xlfn.XLOOKUP(ROW(N46)+1-ROW(N$40),報告用!$AO$4:$AO$39,報告用!$F$4:$F$39,"",FALSE)</f>
        <v>18</v>
      </c>
      <c r="O46" s="140" t="str">
        <f>_xlfn.XLOOKUP(ROW(O46)+1-ROW(O$40),報告用!$AO$4:$AO$39,報告用!$G$4:$G$39,"",FALSE)</f>
        <v>中澤　和江</v>
      </c>
      <c r="P46" s="124" t="str">
        <f t="shared" si="11"/>
        <v>様</v>
      </c>
      <c r="Q46" s="55">
        <f>IF(_xlfn.XLOOKUP(ROW(Q46)+1-ROW(Q$40),報告用!$AO$4:$AO$39,報告用!$E$4:$E$39,"",FALSE)=N46,"",_xlfn.XLOOKUP(ROW(Q46)+1-ROW(Q$40),報告用!$AO$4:$AO$39,報告用!$E$4:$E$39,"",FALSE))</f>
        <v>17</v>
      </c>
    </row>
    <row r="47" spans="1:17" ht="19.5" customHeight="1">
      <c r="A47" s="180"/>
      <c r="B47" s="170">
        <f>_xlfn.XLOOKUP(ROW(B47)+1-ROW(B$40),報告用!$AM$4:$AM$39,報告用!$F$4:$F$39,"",FALSE)</f>
        <v>18</v>
      </c>
      <c r="C47" s="140" t="str">
        <f>_xlfn.XLOOKUP(ROW(C47)+1-ROW(C$40),報告用!$AM$4:$AM$39,報告用!$G$4:$G$39,"",FALSE)</f>
        <v>山本　たみ子</v>
      </c>
      <c r="D47" s="124" t="str">
        <f t="shared" si="9"/>
        <v>様</v>
      </c>
      <c r="E47" s="55" t="str">
        <f>IF(_xlfn.XLOOKUP(ROW(E47)+1-ROW(E$40),報告用!$AM$4:$AM$39,報告用!$E$4:$E$39,"",FALSE)=B47,"",_xlfn.XLOOKUP(ROW(E47)+1-ROW(E$40),報告用!$AM$4:$AM$39,報告用!$E$4:$E$39,"",FALSE))</f>
        <v/>
      </c>
      <c r="F47" s="110"/>
      <c r="G47" s="180"/>
      <c r="H47" s="170">
        <f>_xlfn.XLOOKUP(ROW(H47)+1-ROW(H$40),報告用!$AN$4:$AN$39,報告用!$F$4:$F$39,"",FALSE)</f>
        <v>20</v>
      </c>
      <c r="I47" s="140" t="str">
        <f>_xlfn.XLOOKUP(ROW(I47)+1-ROW(I$40),報告用!$AN$4:$AN$39,報告用!$G$4:$G$39,"",FALSE)</f>
        <v>小口　千穂</v>
      </c>
      <c r="J47" s="124" t="str">
        <f t="shared" si="10"/>
        <v>様</v>
      </c>
      <c r="K47" s="55" t="str">
        <f>IF(_xlfn.XLOOKUP(ROW(K47)+1-ROW(K$40),報告用!$AN$4:$AN$39,報告用!$E$4:$E$39,"",FALSE)=H47,"",_xlfn.XLOOKUP(ROW(K47)+1-ROW(K$40),報告用!$AN$4:$AN$39,報告用!$E$4:$E$39,"",FALSE))</f>
        <v/>
      </c>
      <c r="L47" s="111"/>
      <c r="M47" s="180"/>
      <c r="N47" s="170">
        <f>_xlfn.XLOOKUP(ROW(N47)+1-ROW(N$40),報告用!$AO$4:$AO$39,報告用!$F$4:$F$39,"",FALSE)</f>
        <v>18</v>
      </c>
      <c r="O47" s="140" t="str">
        <f>_xlfn.XLOOKUP(ROW(O47)+1-ROW(O$40),報告用!$AO$4:$AO$39,報告用!$G$4:$G$39,"",FALSE)</f>
        <v>深味　照子</v>
      </c>
      <c r="P47" s="124" t="str">
        <f t="shared" si="11"/>
        <v>様</v>
      </c>
      <c r="Q47" s="55" t="str">
        <f>IF(_xlfn.XLOOKUP(ROW(Q47)+1-ROW(Q$40),報告用!$AO$4:$AO$39,報告用!$E$4:$E$39,"",FALSE)=N47,"",_xlfn.XLOOKUP(ROW(Q47)+1-ROW(Q$40),報告用!$AO$4:$AO$39,報告用!$E$4:$E$39,"",FALSE))</f>
        <v/>
      </c>
    </row>
    <row r="48" spans="1:17" ht="19.5" customHeight="1">
      <c r="A48" s="180"/>
      <c r="B48" s="170">
        <f>_xlfn.XLOOKUP(ROW(B48)+1-ROW(B$40),報告用!$AM$4:$AM$39,報告用!$F$4:$F$39,"",FALSE)</f>
        <v>20</v>
      </c>
      <c r="C48" s="140" t="str">
        <f>_xlfn.XLOOKUP(ROW(C48)+1-ROW(C$40),報告用!$AM$4:$AM$39,報告用!$G$4:$G$39,"",FALSE)</f>
        <v>小口　千穂</v>
      </c>
      <c r="D48" s="124" t="str">
        <f t="shared" si="9"/>
        <v>様</v>
      </c>
      <c r="E48" s="55" t="str">
        <f>IF(_xlfn.XLOOKUP(ROW(E48)+1-ROW(E$40),報告用!$AM$4:$AM$39,報告用!$E$4:$E$39,"",FALSE)=B48,"",_xlfn.XLOOKUP(ROW(E48)+1-ROW(E$40),報告用!$AM$4:$AM$39,報告用!$E$4:$E$39,"",FALSE))</f>
        <v/>
      </c>
      <c r="F48" s="110"/>
      <c r="G48" s="180"/>
      <c r="H48" s="170">
        <f>_xlfn.XLOOKUP(ROW(H48)+1-ROW(H$40),報告用!$AN$4:$AN$39,報告用!$F$4:$F$39,"",FALSE)</f>
        <v>20</v>
      </c>
      <c r="I48" s="140" t="str">
        <f>_xlfn.XLOOKUP(ROW(I48)+1-ROW(I$40),報告用!$AN$4:$AN$39,報告用!$G$4:$G$39,"",FALSE)</f>
        <v>堀内　竹子</v>
      </c>
      <c r="J48" s="124" t="str">
        <f t="shared" si="10"/>
        <v>様</v>
      </c>
      <c r="K48" s="55" t="str">
        <f>IF(_xlfn.XLOOKUP(ROW(K48)+1-ROW(K$40),報告用!$AN$4:$AN$39,報告用!$E$4:$E$39,"",FALSE)=H48,"",_xlfn.XLOOKUP(ROW(K48)+1-ROW(K$40),報告用!$AN$4:$AN$39,報告用!$E$4:$E$39,"",FALSE))</f>
        <v/>
      </c>
      <c r="L48" s="111"/>
      <c r="M48" s="180"/>
      <c r="N48" s="170">
        <f>_xlfn.XLOOKUP(ROW(N48)+1-ROW(N$40),報告用!$AO$4:$AO$39,報告用!$F$4:$F$39,"",FALSE)</f>
        <v>18</v>
      </c>
      <c r="O48" s="140" t="str">
        <f>_xlfn.XLOOKUP(ROW(O48)+1-ROW(O$40),報告用!$AO$4:$AO$39,報告用!$G$4:$G$39,"",FALSE)</f>
        <v>山本　たみ子</v>
      </c>
      <c r="P48" s="124" t="str">
        <f t="shared" si="11"/>
        <v>様</v>
      </c>
      <c r="Q48" s="55" t="str">
        <f>IF(_xlfn.XLOOKUP(ROW(Q48)+1-ROW(Q$40),報告用!$AO$4:$AO$39,報告用!$E$4:$E$39,"",FALSE)=N48,"",_xlfn.XLOOKUP(ROW(Q48)+1-ROW(Q$40),報告用!$AO$4:$AO$39,報告用!$E$4:$E$39,"",FALSE))</f>
        <v/>
      </c>
    </row>
    <row r="49" spans="1:17" ht="19.5" customHeight="1">
      <c r="A49" s="180"/>
      <c r="B49" s="170">
        <f>_xlfn.XLOOKUP(ROW(B49)+1-ROW(B$40),報告用!$AM$4:$AM$39,報告用!$F$4:$F$39,"",FALSE)</f>
        <v>20</v>
      </c>
      <c r="C49" s="140" t="str">
        <f>_xlfn.XLOOKUP(ROW(C49)+1-ROW(C$40),報告用!$AM$4:$AM$39,報告用!$G$4:$G$39,"",FALSE)</f>
        <v>堀内　竹子</v>
      </c>
      <c r="D49" s="124" t="str">
        <f t="shared" si="9"/>
        <v>様</v>
      </c>
      <c r="E49" s="55" t="str">
        <f>IF(_xlfn.XLOOKUP(ROW(E49)+1-ROW(E$40),報告用!$AM$4:$AM$39,報告用!$E$4:$E$39,"",FALSE)=B49,"",_xlfn.XLOOKUP(ROW(E49)+1-ROW(E$40),報告用!$AM$4:$AM$39,報告用!$E$4:$E$39,"",FALSE))</f>
        <v/>
      </c>
      <c r="F49" s="110"/>
      <c r="G49" s="180"/>
      <c r="H49" s="170">
        <f>_xlfn.XLOOKUP(ROW(H49)+1-ROW(H$40),報告用!$AN$4:$AN$39,報告用!$F$4:$F$39,"",FALSE)</f>
        <v>21</v>
      </c>
      <c r="I49" s="140" t="str">
        <f>_xlfn.XLOOKUP(ROW(I49)+1-ROW(I$40),報告用!$AN$4:$AN$39,報告用!$G$4:$G$39,"",FALSE)</f>
        <v>小林　國光</v>
      </c>
      <c r="J49" s="124" t="str">
        <f t="shared" si="10"/>
        <v>様</v>
      </c>
      <c r="K49" s="55">
        <f>IF(_xlfn.XLOOKUP(ROW(K49)+1-ROW(K$40),報告用!$AN$4:$AN$39,報告用!$E$4:$E$39,"",FALSE)=H49,"",_xlfn.XLOOKUP(ROW(K49)+1-ROW(K$40),報告用!$AN$4:$AN$39,報告用!$E$4:$E$39,"",FALSE))</f>
        <v>17</v>
      </c>
      <c r="L49" s="111"/>
      <c r="M49" s="180"/>
      <c r="N49" s="170">
        <f>_xlfn.XLOOKUP(ROW(N49)+1-ROW(N$40),報告用!$AO$4:$AO$39,報告用!$F$4:$F$39,"",FALSE)</f>
        <v>20</v>
      </c>
      <c r="O49" s="140" t="str">
        <f>_xlfn.XLOOKUP(ROW(O49)+1-ROW(O$40),報告用!$AO$4:$AO$39,報告用!$G$4:$G$39,"",FALSE)</f>
        <v>小口　千穂</v>
      </c>
      <c r="P49" s="124" t="str">
        <f t="shared" si="11"/>
        <v>様</v>
      </c>
      <c r="Q49" s="55" t="str">
        <f>IF(_xlfn.XLOOKUP(ROW(Q49)+1-ROW(Q$40),報告用!$AO$4:$AO$39,報告用!$E$4:$E$39,"",FALSE)=N49,"",_xlfn.XLOOKUP(ROW(Q49)+1-ROW(Q$40),報告用!$AO$4:$AO$39,報告用!$E$4:$E$39,"",FALSE))</f>
        <v/>
      </c>
    </row>
    <row r="50" spans="1:17" ht="19.5" customHeight="1">
      <c r="A50" s="180"/>
      <c r="B50" s="170">
        <f>_xlfn.XLOOKUP(ROW(B50)+1-ROW(B$40),報告用!$AM$4:$AM$39,報告用!$F$4:$F$39,"",FALSE)</f>
        <v>21</v>
      </c>
      <c r="C50" s="140" t="str">
        <f>_xlfn.XLOOKUP(ROW(C50)+1-ROW(C$40),報告用!$AM$4:$AM$39,報告用!$G$4:$G$39,"",FALSE)</f>
        <v>小林　國光</v>
      </c>
      <c r="D50" s="124" t="str">
        <f t="shared" si="9"/>
        <v>様</v>
      </c>
      <c r="E50" s="55">
        <f>IF(_xlfn.XLOOKUP(ROW(E50)+1-ROW(E$40),報告用!$AM$4:$AM$39,報告用!$E$4:$E$39,"",FALSE)=B50,"",_xlfn.XLOOKUP(ROW(E50)+1-ROW(E$40),報告用!$AM$4:$AM$39,報告用!$E$4:$E$39,"",FALSE))</f>
        <v>17</v>
      </c>
      <c r="F50" s="110"/>
      <c r="G50" s="180"/>
      <c r="H50" s="170">
        <f>_xlfn.XLOOKUP(ROW(H50)+1-ROW(H$40),報告用!$AN$4:$AN$39,報告用!$F$4:$F$39,"",FALSE)</f>
        <v>21</v>
      </c>
      <c r="I50" s="140" t="str">
        <f>_xlfn.XLOOKUP(ROW(I50)+1-ROW(I$40),報告用!$AN$4:$AN$39,報告用!$G$4:$G$39,"",FALSE)</f>
        <v>土田　茂</v>
      </c>
      <c r="J50" s="124" t="str">
        <f t="shared" si="10"/>
        <v>様</v>
      </c>
      <c r="K50" s="55" t="str">
        <f>IF(_xlfn.XLOOKUP(ROW(K50)+1-ROW(K$40),報告用!$AN$4:$AN$39,報告用!$E$4:$E$39,"",FALSE)=H50,"",_xlfn.XLOOKUP(ROW(K50)+1-ROW(K$40),報告用!$AN$4:$AN$39,報告用!$E$4:$E$39,"",FALSE))</f>
        <v/>
      </c>
      <c r="L50" s="111"/>
      <c r="M50" s="180"/>
      <c r="N50" s="170">
        <f>_xlfn.XLOOKUP(ROW(N50)+1-ROW(N$40),報告用!$AO$4:$AO$39,報告用!$F$4:$F$39,"",FALSE)</f>
        <v>20</v>
      </c>
      <c r="O50" s="140" t="str">
        <f>_xlfn.XLOOKUP(ROW(O50)+1-ROW(O$40),報告用!$AO$4:$AO$39,報告用!$G$4:$G$39,"",FALSE)</f>
        <v>堀内　竹子</v>
      </c>
      <c r="P50" s="124" t="str">
        <f t="shared" si="11"/>
        <v>様</v>
      </c>
      <c r="Q50" s="55" t="str">
        <f>IF(_xlfn.XLOOKUP(ROW(Q50)+1-ROW(Q$40),報告用!$AO$4:$AO$39,報告用!$E$4:$E$39,"",FALSE)=N50,"",_xlfn.XLOOKUP(ROW(Q50)+1-ROW(Q$40),報告用!$AO$4:$AO$39,報告用!$E$4:$E$39,"",FALSE))</f>
        <v/>
      </c>
    </row>
    <row r="51" spans="1:17" ht="19.5" customHeight="1">
      <c r="A51" s="180"/>
      <c r="B51" s="170">
        <f>_xlfn.XLOOKUP(ROW(B51)+1-ROW(B$40),報告用!$AM$4:$AM$39,報告用!$F$4:$F$39,"",FALSE)</f>
        <v>21</v>
      </c>
      <c r="C51" s="140" t="str">
        <f>_xlfn.XLOOKUP(ROW(C51)+1-ROW(C$40),報告用!$AM$4:$AM$39,報告用!$G$4:$G$39,"",FALSE)</f>
        <v>土田　茂</v>
      </c>
      <c r="D51" s="124" t="str">
        <f t="shared" si="9"/>
        <v>様</v>
      </c>
      <c r="E51" s="55" t="str">
        <f>IF(_xlfn.XLOOKUP(ROW(E51)+1-ROW(E$40),報告用!$AM$4:$AM$39,報告用!$E$4:$E$39,"",FALSE)=B51,"",_xlfn.XLOOKUP(ROW(E51)+1-ROW(E$40),報告用!$AM$4:$AM$39,報告用!$E$4:$E$39,"",FALSE))</f>
        <v/>
      </c>
      <c r="F51" s="110"/>
      <c r="G51" s="180"/>
      <c r="H51" s="170">
        <f>_xlfn.XLOOKUP(ROW(H51)+1-ROW(H$40),報告用!$AN$4:$AN$39,報告用!$F$4:$F$39,"",FALSE)</f>
        <v>21</v>
      </c>
      <c r="I51" s="140" t="str">
        <f>_xlfn.XLOOKUP(ROW(I51)+1-ROW(I$40),報告用!$AN$4:$AN$39,報告用!$G$4:$G$39,"",FALSE)</f>
        <v>加納　鉄也</v>
      </c>
      <c r="J51" s="124" t="str">
        <f t="shared" si="10"/>
        <v>様</v>
      </c>
      <c r="K51" s="55">
        <f>IF(_xlfn.XLOOKUP(ROW(K51)+1-ROW(K$40),報告用!$AN$4:$AN$39,報告用!$E$4:$E$39,"",FALSE)=H51,"",_xlfn.XLOOKUP(ROW(K51)+1-ROW(K$40),報告用!$AN$4:$AN$39,報告用!$E$4:$E$39,"",FALSE))</f>
        <v>16</v>
      </c>
      <c r="L51" s="111"/>
      <c r="M51" s="180"/>
      <c r="N51" s="170">
        <f>_xlfn.XLOOKUP(ROW(N51)+1-ROW(N$40),報告用!$AO$4:$AO$39,報告用!$F$4:$F$39,"",FALSE)</f>
        <v>21</v>
      </c>
      <c r="O51" s="140" t="str">
        <f>_xlfn.XLOOKUP(ROW(O51)+1-ROW(O$40),報告用!$AO$4:$AO$39,報告用!$G$4:$G$39,"",FALSE)</f>
        <v>小林　國光</v>
      </c>
      <c r="P51" s="124" t="str">
        <f t="shared" si="11"/>
        <v>様</v>
      </c>
      <c r="Q51" s="55">
        <f>IF(_xlfn.XLOOKUP(ROW(Q51)+1-ROW(Q$40),報告用!$AO$4:$AO$39,報告用!$E$4:$E$39,"",FALSE)=N51,"",_xlfn.XLOOKUP(ROW(Q51)+1-ROW(Q$40),報告用!$AO$4:$AO$39,報告用!$E$4:$E$39,"",FALSE))</f>
        <v>17</v>
      </c>
    </row>
    <row r="52" spans="1:17" ht="19.5" customHeight="1">
      <c r="A52" s="180"/>
      <c r="B52" s="170">
        <f>_xlfn.XLOOKUP(ROW(B52)+1-ROW(B$40),報告用!$AM$4:$AM$39,報告用!$F$4:$F$39,"",FALSE)</f>
        <v>21</v>
      </c>
      <c r="C52" s="140" t="str">
        <f>_xlfn.XLOOKUP(ROW(C52)+1-ROW(C$40),報告用!$AM$4:$AM$39,報告用!$G$4:$G$39,"",FALSE)</f>
        <v>加納　鉄也</v>
      </c>
      <c r="D52" s="124" t="str">
        <f t="shared" si="9"/>
        <v>様</v>
      </c>
      <c r="E52" s="55">
        <f>IF(_xlfn.XLOOKUP(ROW(E52)+1-ROW(E$40),報告用!$AM$4:$AM$39,報告用!$E$4:$E$39,"",FALSE)=B52,"",_xlfn.XLOOKUP(ROW(E52)+1-ROW(E$40),報告用!$AM$4:$AM$39,報告用!$E$4:$E$39,"",FALSE))</f>
        <v>16</v>
      </c>
      <c r="F52" s="110"/>
      <c r="G52" s="180"/>
      <c r="H52" s="170">
        <f>_xlfn.XLOOKUP(ROW(H52)+1-ROW(H$40),報告用!$AN$4:$AN$39,報告用!$F$4:$F$39,"",FALSE)</f>
        <v>22</v>
      </c>
      <c r="I52" s="140" t="str">
        <f>_xlfn.XLOOKUP(ROW(I52)+1-ROW(I$40),報告用!$AN$4:$AN$39,報告用!$G$4:$G$39,"",FALSE)</f>
        <v>小林　慶子</v>
      </c>
      <c r="J52" s="124" t="str">
        <f t="shared" si="10"/>
        <v>様</v>
      </c>
      <c r="K52" s="55" t="str">
        <f>IF(_xlfn.XLOOKUP(ROW(K52)+1-ROW(K$40),報告用!$AN$4:$AN$39,報告用!$E$4:$E$39,"",FALSE)=H52,"",_xlfn.XLOOKUP(ROW(K52)+1-ROW(K$40),報告用!$AN$4:$AN$39,報告用!$E$4:$E$39,"",FALSE))</f>
        <v/>
      </c>
      <c r="L52" s="111"/>
      <c r="M52" s="180"/>
      <c r="N52" s="170">
        <f>_xlfn.XLOOKUP(ROW(N52)+1-ROW(N$40),報告用!$AO$4:$AO$39,報告用!$F$4:$F$39,"",FALSE)</f>
        <v>21</v>
      </c>
      <c r="O52" s="140" t="str">
        <f>_xlfn.XLOOKUP(ROW(O52)+1-ROW(O$40),報告用!$AO$4:$AO$39,報告用!$G$4:$G$39,"",FALSE)</f>
        <v>土田　茂</v>
      </c>
      <c r="P52" s="124" t="str">
        <f t="shared" si="11"/>
        <v>様</v>
      </c>
      <c r="Q52" s="55" t="str">
        <f>IF(_xlfn.XLOOKUP(ROW(Q52)+1-ROW(Q$40),報告用!$AO$4:$AO$39,報告用!$E$4:$E$39,"",FALSE)=N52,"",_xlfn.XLOOKUP(ROW(Q52)+1-ROW(Q$40),報告用!$AO$4:$AO$39,報告用!$E$4:$E$39,"",FALSE))</f>
        <v/>
      </c>
    </row>
    <row r="53" spans="1:17" ht="19.5" customHeight="1">
      <c r="A53" s="180"/>
      <c r="B53" s="170" t="str">
        <f>_xlfn.XLOOKUP(ROW(B53)+1-ROW(B$40),報告用!$AM$4:$AM$39,報告用!$F$4:$F$39,"",FALSE)</f>
        <v/>
      </c>
      <c r="C53" s="140" t="str">
        <f>_xlfn.XLOOKUP(ROW(C53)+1-ROW(C$40),報告用!$AM$4:$AM$39,報告用!$G$4:$G$39,"",FALSE)</f>
        <v/>
      </c>
      <c r="D53" s="124" t="str">
        <f t="shared" si="9"/>
        <v/>
      </c>
      <c r="E53" s="55" t="str">
        <f>IF(_xlfn.XLOOKUP(ROW(E53)+1-ROW(E$40),報告用!$AM$4:$AM$39,報告用!$E$4:$E$39,"",FALSE)=B53,"",_xlfn.XLOOKUP(ROW(E53)+1-ROW(E$40),報告用!$AM$4:$AM$39,報告用!$E$4:$E$39,"",FALSE))</f>
        <v/>
      </c>
      <c r="F53" s="110"/>
      <c r="G53" s="180"/>
      <c r="H53" s="170" t="str">
        <f>_xlfn.XLOOKUP(ROW(H53)+1-ROW(H$40),報告用!$AN$4:$AN$39,報告用!$F$4:$F$39,"",FALSE)</f>
        <v/>
      </c>
      <c r="I53" s="140" t="str">
        <f>_xlfn.XLOOKUP(ROW(I53)+1-ROW(I$40),報告用!$AN$4:$AN$39,報告用!$G$4:$G$39,"",FALSE)</f>
        <v/>
      </c>
      <c r="J53" s="124" t="str">
        <f t="shared" si="10"/>
        <v/>
      </c>
      <c r="K53" s="55" t="str">
        <f>IF(_xlfn.XLOOKUP(ROW(K53)+1-ROW(K$40),報告用!$AN$4:$AN$39,報告用!$E$4:$E$39,"",FALSE)=H53,"",_xlfn.XLOOKUP(ROW(K53)+1-ROW(K$40),報告用!$AN$4:$AN$39,報告用!$E$4:$E$39,"",FALSE))</f>
        <v/>
      </c>
      <c r="L53" s="111"/>
      <c r="M53" s="180"/>
      <c r="N53" s="170">
        <f>_xlfn.XLOOKUP(ROW(N53)+1-ROW(N$40),報告用!$AO$4:$AO$39,報告用!$F$4:$F$39,"",FALSE)</f>
        <v>21</v>
      </c>
      <c r="O53" s="140" t="str">
        <f>_xlfn.XLOOKUP(ROW(O53)+1-ROW(O$40),報告用!$AO$4:$AO$39,報告用!$G$4:$G$39,"",FALSE)</f>
        <v>加納　鉄也</v>
      </c>
      <c r="P53" s="124" t="str">
        <f t="shared" si="11"/>
        <v>様</v>
      </c>
      <c r="Q53" s="55">
        <f>IF(_xlfn.XLOOKUP(ROW(Q53)+1-ROW(Q$40),報告用!$AO$4:$AO$39,報告用!$E$4:$E$39,"",FALSE)=N53,"",_xlfn.XLOOKUP(ROW(Q53)+1-ROW(Q$40),報告用!$AO$4:$AO$39,報告用!$E$4:$E$39,"",FALSE))</f>
        <v>16</v>
      </c>
    </row>
    <row r="54" spans="1:17" ht="19.5" customHeight="1" thickBot="1">
      <c r="A54" s="181"/>
      <c r="B54" s="172" t="str">
        <f>_xlfn.XLOOKUP(ROW(B54)+1-ROW(B$40),報告用!$AM$4:$AM$39,報告用!$F$4:$F$39,"",FALSE)</f>
        <v/>
      </c>
      <c r="C54" s="171" t="str">
        <f>_xlfn.XLOOKUP(ROW(C54)+1-ROW(C$40),報告用!$AM$4:$AM$39,報告用!$G$4:$G$39,"",FALSE)</f>
        <v/>
      </c>
      <c r="D54" s="134" t="str">
        <f t="shared" si="9"/>
        <v/>
      </c>
      <c r="E54" s="173" t="str">
        <f>IF(_xlfn.XLOOKUP(ROW(E54)+1-ROW(E$40),報告用!$AM$4:$AM$39,報告用!$E$4:$E$39,"",FALSE)=B54,"",_xlfn.XLOOKUP(ROW(E54)+1-ROW(E$40),報告用!$AM$4:$AM$39,報告用!$E$4:$E$39,"",FALSE))</f>
        <v/>
      </c>
      <c r="F54" s="110"/>
      <c r="G54" s="181"/>
      <c r="H54" s="172" t="str">
        <f>_xlfn.XLOOKUP(ROW(H54)+1-ROW(H$40),報告用!$AN$4:$AN$39,報告用!$F$4:$F$39,"",FALSE)</f>
        <v/>
      </c>
      <c r="I54" s="171" t="str">
        <f>_xlfn.XLOOKUP(ROW(I54)+1-ROW(I$40),報告用!$AN$4:$AN$39,報告用!$G$4:$G$39,"",FALSE)</f>
        <v/>
      </c>
      <c r="J54" s="134" t="str">
        <f t="shared" si="10"/>
        <v/>
      </c>
      <c r="K54" s="173" t="str">
        <f>IF(_xlfn.XLOOKUP(ROW(K54)+1-ROW(K$40),報告用!$AN$4:$AN$39,報告用!$E$4:$E$39,"",FALSE)=H54,"",_xlfn.XLOOKUP(ROW(K54)+1-ROW(K$40),報告用!$AN$4:$AN$39,報告用!$E$4:$E$39,"",FALSE))</f>
        <v/>
      </c>
      <c r="L54" s="111"/>
      <c r="M54" s="181"/>
      <c r="N54" s="172" t="str">
        <f>_xlfn.XLOOKUP(ROW(N54)+1-ROW(N$40),報告用!$AO$4:$AO$39,報告用!$F$4:$F$39,"",FALSE)</f>
        <v/>
      </c>
      <c r="O54" s="171" t="str">
        <f>_xlfn.XLOOKUP(ROW(O54)+1-ROW(O$40),報告用!$AO$4:$AO$39,報告用!$G$4:$G$39,"",FALSE)</f>
        <v/>
      </c>
      <c r="P54" s="134" t="str">
        <f t="shared" si="11"/>
        <v/>
      </c>
      <c r="Q54" s="173" t="str">
        <f>IF(_xlfn.XLOOKUP(ROW(Q54)+1-ROW(Q$40),報告用!$AO$4:$AO$39,報告用!$E$4:$E$39,"",FALSE)=N54,"",_xlfn.XLOOKUP(ROW(Q54)+1-ROW(Q$40),報告用!$AO$4:$AO$39,報告用!$E$4:$E$39,"",FALSE))</f>
        <v/>
      </c>
    </row>
    <row r="55" spans="1:17" ht="19.5" customHeight="1" thickBot="1">
      <c r="A55" s="110"/>
      <c r="B55" s="110"/>
      <c r="C55" s="110"/>
      <c r="D55" s="110"/>
      <c r="E55" s="110"/>
      <c r="F55" s="110"/>
      <c r="G55" s="192" t="s">
        <v>41</v>
      </c>
      <c r="H55" s="192"/>
      <c r="I55" s="192"/>
      <c r="J55" s="192"/>
      <c r="K55" s="192"/>
      <c r="L55" s="110"/>
      <c r="M55" s="110"/>
      <c r="N55" s="110"/>
      <c r="O55" s="110"/>
      <c r="P55" s="110"/>
      <c r="Q55" s="110"/>
    </row>
    <row r="56" spans="1:17" ht="19.5" customHeight="1" thickBot="1">
      <c r="A56" s="224" t="s">
        <v>50</v>
      </c>
      <c r="B56" s="225"/>
      <c r="C56" s="225"/>
      <c r="D56" s="225"/>
      <c r="E56" s="226"/>
      <c r="F56" s="110"/>
      <c r="G56" s="192"/>
      <c r="H56" s="192"/>
      <c r="I56" s="192"/>
      <c r="J56" s="192"/>
      <c r="K56" s="192"/>
      <c r="L56" s="110"/>
      <c r="M56" s="194">
        <f>報告用!$O$2</f>
        <v>46106</v>
      </c>
      <c r="N56" s="194"/>
      <c r="O56" s="194"/>
      <c r="P56" s="194"/>
      <c r="Q56" s="194"/>
    </row>
    <row r="57" spans="1:17" ht="19.5" customHeight="1">
      <c r="A57" s="186" t="s">
        <v>31</v>
      </c>
      <c r="B57" s="182" t="s">
        <v>36</v>
      </c>
      <c r="C57" s="182"/>
      <c r="D57" s="182"/>
      <c r="E57" s="183"/>
      <c r="F57" s="110"/>
      <c r="G57" s="186" t="s">
        <v>31</v>
      </c>
      <c r="H57" s="182" t="s">
        <v>9</v>
      </c>
      <c r="I57" s="182"/>
      <c r="J57" s="182"/>
      <c r="K57" s="183"/>
      <c r="L57" s="111"/>
      <c r="M57" s="186" t="s">
        <v>31</v>
      </c>
      <c r="N57" s="182" t="s">
        <v>10</v>
      </c>
      <c r="O57" s="182"/>
      <c r="P57" s="182"/>
      <c r="Q57" s="183"/>
    </row>
    <row r="58" spans="1:17" ht="19.5" customHeight="1" thickBot="1">
      <c r="A58" s="187"/>
      <c r="B58" s="112" t="s">
        <v>18</v>
      </c>
      <c r="C58" s="191" t="s">
        <v>17</v>
      </c>
      <c r="D58" s="191"/>
      <c r="E58" s="114" t="s">
        <v>30</v>
      </c>
      <c r="F58" s="110"/>
      <c r="G58" s="187"/>
      <c r="H58" s="112" t="s">
        <v>18</v>
      </c>
      <c r="I58" s="184" t="s">
        <v>17</v>
      </c>
      <c r="J58" s="185"/>
      <c r="K58" s="114" t="s">
        <v>30</v>
      </c>
      <c r="L58" s="111"/>
      <c r="M58" s="187"/>
      <c r="N58" s="112" t="s">
        <v>18</v>
      </c>
      <c r="O58" s="184" t="s">
        <v>17</v>
      </c>
      <c r="P58" s="185"/>
      <c r="Q58" s="114" t="s">
        <v>30</v>
      </c>
    </row>
    <row r="59" spans="1:17" ht="19.5" customHeight="1" thickTop="1">
      <c r="A59" s="179" t="s">
        <v>32</v>
      </c>
      <c r="B59" s="119">
        <f>_xlfn.XLOOKUP(ROW(B59)+1-ROW(B$59),報告用!$AC$44:$AC$87,報告用!$F$44:$F$87,"",FALSE)</f>
        <v>23</v>
      </c>
      <c r="C59" s="123" t="str">
        <f>_xlfn.XLOOKUP(ROW(C59)+1-ROW(C$59),報告用!$AC$44:$AC$87,報告用!$G$44:$G$87,"",FALSE)</f>
        <v>森下計二</v>
      </c>
      <c r="D59" s="124" t="str">
        <f>IF(C59="","","様")</f>
        <v>様</v>
      </c>
      <c r="E59" s="120" t="str">
        <f>IF(_xlfn.XLOOKUP(ROW(E59)+1-ROW(E$59),報告用!$AC$44:$AC$87,報告用!$E$44:$E$87,"",FALSE)=B59,"",_xlfn.XLOOKUP(ROW(E59)+1-ROW(E$59),報告用!$AC$44:$AC$87,報告用!$E$44:$E$87,"",FALSE))</f>
        <v/>
      </c>
      <c r="F59" s="110"/>
      <c r="G59" s="179" t="s">
        <v>35</v>
      </c>
      <c r="H59" s="119">
        <f>_xlfn.XLOOKUP(ROW(H59)+1-ROW(H$59),報告用!$AF$44:$AF$87,報告用!$F$44:$F$87,"",FALSE)</f>
        <v>22</v>
      </c>
      <c r="I59" s="123" t="str">
        <f>_xlfn.XLOOKUP(ROW(I59)+1-ROW(I$59),報告用!$AF$44:$AF$87,報告用!$G$44:$G$87,"",FALSE)</f>
        <v>丸山　由美子</v>
      </c>
      <c r="J59" s="124" t="str">
        <f>IF(I59="","","様")</f>
        <v>様</v>
      </c>
      <c r="K59" s="120" t="str">
        <f>IF(_xlfn.XLOOKUP(ROW(K59)+1-ROW(K$59),報告用!$AF$44:$AF$87,報告用!$E$44:$E$87,"",FALSE)=H59,"",_xlfn.XLOOKUP(ROW(K59)+1-ROW(K$59),報告用!$AF$44:$AF$87,報告用!$E$44:$E$87,"",FALSE))</f>
        <v/>
      </c>
      <c r="L59" s="111"/>
      <c r="M59" s="179" t="s">
        <v>35</v>
      </c>
      <c r="N59" s="119">
        <f>_xlfn.XLOOKUP(ROW(N59)+1-ROW(N$59),報告用!$AG$44:$AG$87,報告用!$F$44:$F$87,"",FALSE)</f>
        <v>22</v>
      </c>
      <c r="O59" s="123" t="str">
        <f>_xlfn.XLOOKUP(ROW(O59)+1-ROW(O$59),報告用!$AG$44:$AG$87,報告用!$G$44:$G$87,"",FALSE)</f>
        <v>丸山　由美子</v>
      </c>
      <c r="P59" s="124" t="str">
        <f>IF(O59="","","様")</f>
        <v>様</v>
      </c>
      <c r="Q59" s="120" t="str">
        <f>IF(_xlfn.XLOOKUP(ROW(Q59)+1-ROW(Q$59),報告用!$AG$44:$AG$87,報告用!$E$44:$E$87,"",FALSE)=N59,"",_xlfn.XLOOKUP(ROW(Q59)+1-ROW(Q$59),報告用!$AG$44:$AG$87,報告用!$E$44:$E$87,"",FALSE))</f>
        <v/>
      </c>
    </row>
    <row r="60" spans="1:17" ht="19.5" customHeight="1">
      <c r="A60" s="180"/>
      <c r="B60" s="117">
        <f>_xlfn.XLOOKUP(ROW(B60)+1-ROW(B$59),報告用!$AC$44:$AC$87,報告用!$F$44:$F$87,"",FALSE)</f>
        <v>23</v>
      </c>
      <c r="C60" s="129" t="str">
        <f>_xlfn.XLOOKUP(ROW(C60)+1-ROW(C$59),報告用!$AC$44:$AC$87,報告用!$G$44:$G$87,"",FALSE)</f>
        <v>中川　誠</v>
      </c>
      <c r="D60" s="130" t="str">
        <f t="shared" ref="D60:D70" si="12">IF(C60="","","様")</f>
        <v>様</v>
      </c>
      <c r="E60" s="118" t="str">
        <f>IF(_xlfn.XLOOKUP(ROW(E60)+1-ROW(E$59),報告用!$AC$44:$AC$87,報告用!$E$44:$E$87,"",FALSE)=B60,"",_xlfn.XLOOKUP(ROW(E60)+1-ROW(E$59),報告用!$AC$44:$AC$87,報告用!$E$44:$E$87,"",FALSE))</f>
        <v/>
      </c>
      <c r="F60" s="110"/>
      <c r="G60" s="180"/>
      <c r="H60" s="119">
        <f>_xlfn.XLOOKUP(ROW(H60)+1-ROW(H$59),報告用!$AF$44:$AF$87,報告用!$F$44:$F$87,"",FALSE)</f>
        <v>23</v>
      </c>
      <c r="I60" s="123" t="str">
        <f>_xlfn.XLOOKUP(ROW(I60)+1-ROW(I$59),報告用!$AF$44:$AF$87,報告用!$G$44:$G$87,"",FALSE)</f>
        <v>森下計二</v>
      </c>
      <c r="J60" s="124" t="str">
        <f t="shared" ref="J60:J66" si="13">IF(I60="","","様")</f>
        <v>様</v>
      </c>
      <c r="K60" s="120" t="str">
        <f>IF(_xlfn.XLOOKUP(ROW(K60)+1-ROW(K$59),報告用!$AF$44:$AF$87,報告用!$E$44:$E$87,"",FALSE)=H60,"",_xlfn.XLOOKUP(ROW(K60)+1-ROW(K$59),報告用!$AF$44:$AF$87,報告用!$E$44:$E$87,"",FALSE))</f>
        <v/>
      </c>
      <c r="L60" s="111"/>
      <c r="M60" s="180"/>
      <c r="N60" s="117">
        <f>_xlfn.XLOOKUP(ROW(N60)+1-ROW(N$59),報告用!$AG$44:$AG$87,報告用!$F$44:$F$87,"",FALSE)</f>
        <v>23</v>
      </c>
      <c r="O60" s="129" t="str">
        <f>_xlfn.XLOOKUP(ROW(O60)+1-ROW(O$59),報告用!$AG$44:$AG$87,報告用!$G$44:$G$87,"",FALSE)</f>
        <v>森下計二</v>
      </c>
      <c r="P60" s="130" t="str">
        <f t="shared" ref="P60:P66" si="14">IF(O60="","","様")</f>
        <v>様</v>
      </c>
      <c r="Q60" s="120" t="str">
        <f>IF(_xlfn.XLOOKUP(ROW(Q60)+1-ROW(Q$59),報告用!$AG$44:$AG$87,報告用!$E$44:$E$87,"",FALSE)=N60,"",_xlfn.XLOOKUP(ROW(Q60)+1-ROW(Q$59),報告用!$AG$44:$AG$87,報告用!$E$44:$E$87,"",FALSE))</f>
        <v/>
      </c>
    </row>
    <row r="61" spans="1:17" ht="19.5" customHeight="1">
      <c r="A61" s="180"/>
      <c r="B61" s="117">
        <f>_xlfn.XLOOKUP(ROW(B61)+1-ROW(B$59),報告用!$AC$44:$AC$87,報告用!$F$44:$F$87,"",FALSE)</f>
        <v>25</v>
      </c>
      <c r="C61" s="129" t="str">
        <f>_xlfn.XLOOKUP(ROW(C61)+1-ROW(C$59),報告用!$AC$44:$AC$87,報告用!$G$44:$G$87,"",FALSE)</f>
        <v>★村松　恒彦</v>
      </c>
      <c r="D61" s="130" t="str">
        <f t="shared" si="12"/>
        <v>様</v>
      </c>
      <c r="E61" s="118" t="str">
        <f>IF(_xlfn.XLOOKUP(ROW(E61)+1-ROW(E$59),報告用!$AC$44:$AC$87,報告用!$E$44:$E$87,"",FALSE)=B61,"",_xlfn.XLOOKUP(ROW(E61)+1-ROW(E$59),報告用!$AC$44:$AC$87,報告用!$E$44:$E$87,"",FALSE))</f>
        <v/>
      </c>
      <c r="F61" s="110"/>
      <c r="G61" s="180"/>
      <c r="H61" s="119">
        <f>_xlfn.XLOOKUP(ROW(H61)+1-ROW(H$59),報告用!$AF$44:$AF$87,報告用!$F$44:$F$87,"",FALSE)</f>
        <v>25</v>
      </c>
      <c r="I61" s="123" t="str">
        <f>_xlfn.XLOOKUP(ROW(I61)+1-ROW(I$59),報告用!$AF$44:$AF$87,報告用!$G$44:$G$87,"",FALSE)</f>
        <v>鈴木　賢浄</v>
      </c>
      <c r="J61" s="124" t="str">
        <f t="shared" si="13"/>
        <v>様</v>
      </c>
      <c r="K61" s="120" t="str">
        <f>IF(_xlfn.XLOOKUP(ROW(K61)+1-ROW(K$59),報告用!$AF$44:$AF$87,報告用!$E$44:$E$87,"",FALSE)=H61,"",_xlfn.XLOOKUP(ROW(K61)+1-ROW(K$59),報告用!$AF$44:$AF$87,報告用!$E$44:$E$87,"",FALSE))</f>
        <v/>
      </c>
      <c r="L61" s="111"/>
      <c r="M61" s="180"/>
      <c r="N61" s="117">
        <f>_xlfn.XLOOKUP(ROW(N61)+1-ROW(N$59),報告用!$AG$44:$AG$87,報告用!$F$44:$F$87,"",FALSE)</f>
        <v>25</v>
      </c>
      <c r="O61" s="129" t="str">
        <f>_xlfn.XLOOKUP(ROW(O61)+1-ROW(O$59),報告用!$AG$44:$AG$87,報告用!$G$44:$G$87,"",FALSE)</f>
        <v>鈴木　賢浄</v>
      </c>
      <c r="P61" s="130" t="str">
        <f t="shared" si="14"/>
        <v>様</v>
      </c>
      <c r="Q61" s="120" t="str">
        <f>IF(_xlfn.XLOOKUP(ROW(Q61)+1-ROW(Q$59),報告用!$AG$44:$AG$87,報告用!$E$44:$E$87,"",FALSE)=N61,"",_xlfn.XLOOKUP(ROW(Q61)+1-ROW(Q$59),報告用!$AG$44:$AG$87,報告用!$E$44:$E$87,"",FALSE))</f>
        <v/>
      </c>
    </row>
    <row r="62" spans="1:17" ht="19.5" customHeight="1">
      <c r="A62" s="180"/>
      <c r="B62" s="117">
        <f>_xlfn.XLOOKUP(ROW(B62)+1-ROW(B$59),報告用!$AC$44:$AC$87,報告用!$F$44:$F$87,"",FALSE)</f>
        <v>5</v>
      </c>
      <c r="C62" s="129" t="str">
        <f>_xlfn.XLOOKUP(ROW(C62)+1-ROW(C$59),報告用!$AC$44:$AC$87,報告用!$G$44:$G$87,"",FALSE)</f>
        <v>★横森　宗男</v>
      </c>
      <c r="D62" s="130" t="str">
        <f t="shared" si="12"/>
        <v>様</v>
      </c>
      <c r="E62" s="118" t="str">
        <f>IF(_xlfn.XLOOKUP(ROW(E62)+1-ROW(E$59),報告用!$AC$44:$AC$87,報告用!$E$44:$E$87,"",FALSE)=B62,"",_xlfn.XLOOKUP(ROW(E62)+1-ROW(E$59),報告用!$AC$44:$AC$87,報告用!$E$44:$E$87,"",FALSE))</f>
        <v/>
      </c>
      <c r="F62" s="110"/>
      <c r="G62" s="180"/>
      <c r="H62" s="119">
        <f>_xlfn.XLOOKUP(ROW(H62)+1-ROW(H$59),報告用!$AF$44:$AF$87,報告用!$F$44:$F$87,"",FALSE)</f>
        <v>1</v>
      </c>
      <c r="I62" s="123" t="str">
        <f>_xlfn.XLOOKUP(ROW(I62)+1-ROW(I$59),報告用!$AF$44:$AF$87,報告用!$G$44:$G$87,"",FALSE)</f>
        <v>笹本　定子</v>
      </c>
      <c r="J62" s="124" t="str">
        <f t="shared" si="13"/>
        <v>様</v>
      </c>
      <c r="K62" s="120" t="str">
        <f>IF(_xlfn.XLOOKUP(ROW(K62)+1-ROW(K$59),報告用!$AF$44:$AF$87,報告用!$E$44:$E$87,"",FALSE)=H62,"",_xlfn.XLOOKUP(ROW(K62)+1-ROW(K$59),報告用!$AF$44:$AF$87,報告用!$E$44:$E$87,"",FALSE))</f>
        <v/>
      </c>
      <c r="L62" s="111"/>
      <c r="M62" s="180"/>
      <c r="N62" s="117">
        <f>_xlfn.XLOOKUP(ROW(N62)+1-ROW(N$59),報告用!$AG$44:$AG$87,報告用!$F$44:$F$87,"",FALSE)</f>
        <v>1</v>
      </c>
      <c r="O62" s="129" t="str">
        <f>_xlfn.XLOOKUP(ROW(O62)+1-ROW(O$59),報告用!$AG$44:$AG$87,報告用!$G$44:$G$87,"",FALSE)</f>
        <v>笹本　定子</v>
      </c>
      <c r="P62" s="130" t="str">
        <f t="shared" si="14"/>
        <v>様</v>
      </c>
      <c r="Q62" s="120" t="str">
        <f>IF(_xlfn.XLOOKUP(ROW(Q62)+1-ROW(Q$59),報告用!$AG$44:$AG$87,報告用!$E$44:$E$87,"",FALSE)=N62,"",_xlfn.XLOOKUP(ROW(Q62)+1-ROW(Q$59),報告用!$AG$44:$AG$87,報告用!$E$44:$E$87,"",FALSE))</f>
        <v/>
      </c>
    </row>
    <row r="63" spans="1:17" ht="19.5" customHeight="1">
      <c r="A63" s="180"/>
      <c r="B63" s="117">
        <f>_xlfn.XLOOKUP(ROW(B63)+1-ROW(B$59),報告用!$AC$44:$AC$87,報告用!$F$44:$F$87,"",FALSE)</f>
        <v>6</v>
      </c>
      <c r="C63" s="129" t="str">
        <f>_xlfn.XLOOKUP(ROW(C63)+1-ROW(C$59),報告用!$AC$44:$AC$87,報告用!$G$44:$G$87,"",FALSE)</f>
        <v>★フジイロザスミコ</v>
      </c>
      <c r="D63" s="130" t="str">
        <f t="shared" si="12"/>
        <v>様</v>
      </c>
      <c r="E63" s="118" t="str">
        <f>IF(_xlfn.XLOOKUP(ROW(E63)+1-ROW(E$59),報告用!$AC$44:$AC$87,報告用!$E$44:$E$87,"",FALSE)=B63,"",_xlfn.XLOOKUP(ROW(E63)+1-ROW(E$59),報告用!$AC$44:$AC$87,報告用!$E$44:$E$87,"",FALSE))</f>
        <v/>
      </c>
      <c r="F63" s="110"/>
      <c r="G63" s="180"/>
      <c r="H63" s="119">
        <f>_xlfn.XLOOKUP(ROW(H63)+1-ROW(H$59),報告用!$AF$44:$AF$87,報告用!$F$44:$F$87,"",FALSE)</f>
        <v>3</v>
      </c>
      <c r="I63" s="123" t="str">
        <f>_xlfn.XLOOKUP(ROW(I63)+1-ROW(I$59),報告用!$AF$44:$AF$87,報告用!$G$44:$G$87,"",FALSE)</f>
        <v>コナカザワキクコ</v>
      </c>
      <c r="J63" s="124" t="str">
        <f t="shared" si="13"/>
        <v>様</v>
      </c>
      <c r="K63" s="120">
        <f>IF(_xlfn.XLOOKUP(ROW(K63)+1-ROW(K$59),報告用!$AF$44:$AF$87,報告用!$E$44:$E$87,"",FALSE)=H63,"",_xlfn.XLOOKUP(ROW(K63)+1-ROW(K$59),報告用!$AF$44:$AF$87,報告用!$E$44:$E$87,"",FALSE))</f>
        <v>2</v>
      </c>
      <c r="L63" s="111"/>
      <c r="M63" s="180"/>
      <c r="N63" s="117">
        <f>_xlfn.XLOOKUP(ROW(N63)+1-ROW(N$59),報告用!$AG$44:$AG$87,報告用!$F$44:$F$87,"",FALSE)</f>
        <v>3</v>
      </c>
      <c r="O63" s="129" t="str">
        <f>_xlfn.XLOOKUP(ROW(O63)+1-ROW(O$59),報告用!$AG$44:$AG$87,報告用!$G$44:$G$87,"",FALSE)</f>
        <v>コナカザワキクコ</v>
      </c>
      <c r="P63" s="130" t="str">
        <f t="shared" si="14"/>
        <v>様</v>
      </c>
      <c r="Q63" s="120">
        <f>IF(_xlfn.XLOOKUP(ROW(Q63)+1-ROW(Q$59),報告用!$AG$44:$AG$87,報告用!$E$44:$E$87,"",FALSE)=N63,"",_xlfn.XLOOKUP(ROW(Q63)+1-ROW(Q$59),報告用!$AG$44:$AG$87,報告用!$E$44:$E$87,"",FALSE))</f>
        <v>2</v>
      </c>
    </row>
    <row r="64" spans="1:17" ht="19.5" customHeight="1">
      <c r="A64" s="180"/>
      <c r="B64" s="117">
        <f>_xlfn.XLOOKUP(ROW(B64)+1-ROW(B$59),報告用!$AC$44:$AC$87,報告用!$F$44:$F$87,"",FALSE)</f>
        <v>7</v>
      </c>
      <c r="C64" s="129" t="str">
        <f>_xlfn.XLOOKUP(ROW(C64)+1-ROW(C$59),報告用!$AC$44:$AC$87,報告用!$G$44:$G$87,"",FALSE)</f>
        <v>★佐藤　光正</v>
      </c>
      <c r="D64" s="130" t="str">
        <f t="shared" si="12"/>
        <v>様</v>
      </c>
      <c r="E64" s="118" t="str">
        <f>IF(_xlfn.XLOOKUP(ROW(E64)+1-ROW(E$59),報告用!$AC$44:$AC$87,報告用!$E$44:$E$87,"",FALSE)=B64,"",_xlfn.XLOOKUP(ROW(E64)+1-ROW(E$59),報告用!$AC$44:$AC$87,報告用!$E$44:$E$87,"",FALSE))</f>
        <v/>
      </c>
      <c r="F64" s="110"/>
      <c r="G64" s="180"/>
      <c r="H64" s="119">
        <f>_xlfn.XLOOKUP(ROW(H64)+1-ROW(H$59),報告用!$AF$44:$AF$87,報告用!$F$44:$F$87,"",FALSE)</f>
        <v>5</v>
      </c>
      <c r="I64" s="123" t="str">
        <f>_xlfn.XLOOKUP(ROW(I64)+1-ROW(I$59),報告用!$AF$44:$AF$87,報告用!$G$44:$G$87,"",FALSE)</f>
        <v>高田 保英</v>
      </c>
      <c r="J64" s="124" t="str">
        <f t="shared" si="13"/>
        <v>様</v>
      </c>
      <c r="K64" s="120">
        <f>IF(_xlfn.XLOOKUP(ROW(K64)+1-ROW(K$59),報告用!$AF$44:$AF$87,報告用!$E$44:$E$87,"",FALSE)=H64,"",_xlfn.XLOOKUP(ROW(K64)+1-ROW(K$59),報告用!$AF$44:$AF$87,報告用!$E$44:$E$87,"",FALSE))</f>
        <v>25</v>
      </c>
      <c r="L64" s="111"/>
      <c r="M64" s="180"/>
      <c r="N64" s="117">
        <f>_xlfn.XLOOKUP(ROW(N64)+1-ROW(N$59),報告用!$AG$44:$AG$87,報告用!$F$44:$F$87,"",FALSE)</f>
        <v>5</v>
      </c>
      <c r="O64" s="129" t="str">
        <f>_xlfn.XLOOKUP(ROW(O64)+1-ROW(O$59),報告用!$AG$44:$AG$87,報告用!$G$44:$G$87,"",FALSE)</f>
        <v>高田 保英</v>
      </c>
      <c r="P64" s="130" t="str">
        <f t="shared" si="14"/>
        <v>様</v>
      </c>
      <c r="Q64" s="120">
        <f>IF(_xlfn.XLOOKUP(ROW(Q64)+1-ROW(Q$59),報告用!$AG$44:$AG$87,報告用!$E$44:$E$87,"",FALSE)=N64,"",_xlfn.XLOOKUP(ROW(Q64)+1-ROW(Q$59),報告用!$AG$44:$AG$87,報告用!$E$44:$E$87,"",FALSE))</f>
        <v>25</v>
      </c>
    </row>
    <row r="65" spans="1:17" ht="19.5" customHeight="1">
      <c r="A65" s="180"/>
      <c r="B65" s="117" t="str">
        <f>_xlfn.XLOOKUP(ROW(B65)+1-ROW(B$59),報告用!$AC$44:$AC$87,報告用!$F$44:$F$87,"",FALSE)</f>
        <v/>
      </c>
      <c r="C65" s="129" t="str">
        <f>_xlfn.XLOOKUP(ROW(C65)+1-ROW(C$59),報告用!$AC$44:$AC$87,報告用!$G$44:$G$87,"",FALSE)</f>
        <v/>
      </c>
      <c r="D65" s="130" t="str">
        <f t="shared" si="12"/>
        <v/>
      </c>
      <c r="E65" s="118" t="str">
        <f>IF(_xlfn.XLOOKUP(ROW(E65)+1-ROW(E$59),報告用!$AC$44:$AC$87,報告用!$E$44:$E$87,"",FALSE)=B65,"",_xlfn.XLOOKUP(ROW(E65)+1-ROW(E$59),報告用!$AC$44:$AC$87,報告用!$E$44:$E$87,"",FALSE))</f>
        <v/>
      </c>
      <c r="F65" s="110"/>
      <c r="G65" s="180"/>
      <c r="H65" s="119">
        <f>_xlfn.XLOOKUP(ROW(H65)+1-ROW(H$59),報告用!$AF$44:$AF$87,報告用!$F$44:$F$87,"",FALSE)</f>
        <v>8</v>
      </c>
      <c r="I65" s="123" t="str">
        <f>_xlfn.XLOOKUP(ROW(I65)+1-ROW(I$59),報告用!$AF$44:$AF$87,報告用!$G$44:$G$87,"",FALSE)</f>
        <v>望月　昭利(短時間)</v>
      </c>
      <c r="J65" s="124" t="str">
        <f t="shared" si="13"/>
        <v>様</v>
      </c>
      <c r="K65" s="120">
        <f>IF(_xlfn.XLOOKUP(ROW(K65)+1-ROW(K$59),報告用!$AF$44:$AF$87,報告用!$E$44:$E$87,"",FALSE)=H65,"",_xlfn.XLOOKUP(ROW(K65)+1-ROW(K$59),報告用!$AF$44:$AF$87,報告用!$E$44:$E$87,"",FALSE))</f>
        <v>5</v>
      </c>
      <c r="L65" s="111"/>
      <c r="M65" s="180"/>
      <c r="N65" s="117">
        <f>_xlfn.XLOOKUP(ROW(N65)+1-ROW(N$59),報告用!$AG$44:$AG$87,報告用!$F$44:$F$87,"",FALSE)</f>
        <v>8</v>
      </c>
      <c r="O65" s="129" t="str">
        <f>_xlfn.XLOOKUP(ROW(O65)+1-ROW(O$59),報告用!$AG$44:$AG$87,報告用!$G$44:$G$87,"",FALSE)</f>
        <v>望月　昭利(短時間)</v>
      </c>
      <c r="P65" s="130" t="str">
        <f t="shared" si="14"/>
        <v>様</v>
      </c>
      <c r="Q65" s="120">
        <f>IF(_xlfn.XLOOKUP(ROW(Q65)+1-ROW(Q$59),報告用!$AG$44:$AG$87,報告用!$E$44:$E$87,"",FALSE)=N65,"",_xlfn.XLOOKUP(ROW(Q65)+1-ROW(Q$59),報告用!$AG$44:$AG$87,報告用!$E$44:$E$87,"",FALSE))</f>
        <v>5</v>
      </c>
    </row>
    <row r="66" spans="1:17" ht="19.5" customHeight="1" thickBot="1">
      <c r="A66" s="180"/>
      <c r="B66" s="117" t="str">
        <f>_xlfn.XLOOKUP(ROW(B66)+1-ROW(B$59),報告用!$AC$44:$AC$87,報告用!$F$44:$F$87,"",FALSE)</f>
        <v/>
      </c>
      <c r="C66" s="129" t="str">
        <f>_xlfn.XLOOKUP(ROW(C66)+1-ROW(C$59),報告用!$AC$44:$AC$87,報告用!$G$44:$G$87,"",FALSE)</f>
        <v/>
      </c>
      <c r="D66" s="130" t="str">
        <f t="shared" si="12"/>
        <v/>
      </c>
      <c r="E66" s="118" t="str">
        <f>IF(_xlfn.XLOOKUP(ROW(E66)+1-ROW(E$59),報告用!$AC$44:$AC$87,報告用!$E$44:$E$87,"",FALSE)=B66,"",_xlfn.XLOOKUP(ROW(E66)+1-ROW(E$59),報告用!$AC$44:$AC$87,報告用!$E$44:$E$87,"",FALSE))</f>
        <v/>
      </c>
      <c r="F66" s="110"/>
      <c r="G66" s="187"/>
      <c r="H66" s="112">
        <f>_xlfn.XLOOKUP(ROW(H66)+1-ROW(H$59),報告用!$AF$44:$AF$87,報告用!$F$44:$F$87,"",FALSE)</f>
        <v>12</v>
      </c>
      <c r="I66" s="131" t="str">
        <f>_xlfn.XLOOKUP(ROW(I66)+1-ROW(I$59),報告用!$AF$44:$AF$87,報告用!$G$44:$G$87,"",FALSE)</f>
        <v>馬塲 日出子</v>
      </c>
      <c r="J66" s="113" t="str">
        <f t="shared" si="13"/>
        <v>様</v>
      </c>
      <c r="K66" s="114" t="str">
        <f>IF(_xlfn.XLOOKUP(ROW(K66)+1-ROW(K$59),報告用!$AF$44:$AF$87,報告用!$E$44:$E$87,"",FALSE)=H66,"",_xlfn.XLOOKUP(ROW(K66)+1-ROW(K$59),報告用!$AF$44:$AF$87,報告用!$E$44:$E$87,"",FALSE))</f>
        <v/>
      </c>
      <c r="L66" s="111"/>
      <c r="M66" s="187"/>
      <c r="N66" s="112">
        <f>_xlfn.XLOOKUP(ROW(N66)+1-ROW(N$59),報告用!$AG$44:$AG$87,報告用!$F$44:$F$87,"",FALSE)</f>
        <v>10</v>
      </c>
      <c r="O66" s="131" t="str">
        <f>_xlfn.XLOOKUP(ROW(O66)+1-ROW(O$59),報告用!$AG$44:$AG$87,報告用!$G$44:$G$87,"",FALSE)</f>
        <v>古屋　桂子</v>
      </c>
      <c r="P66" s="113" t="str">
        <f t="shared" si="14"/>
        <v>様</v>
      </c>
      <c r="Q66" s="114">
        <f>IF(_xlfn.XLOOKUP(ROW(Q66)+1-ROW(Q$59),報告用!$AG$44:$AG$87,報告用!$E$44:$E$87,"",FALSE)=N66,"",_xlfn.XLOOKUP(ROW(Q66)+1-ROW(Q$59),報告用!$AG$44:$AG$87,報告用!$E$44:$E$87,"",FALSE))</f>
        <v>12</v>
      </c>
    </row>
    <row r="67" spans="1:17" ht="19.5" customHeight="1" thickTop="1">
      <c r="A67" s="180"/>
      <c r="B67" s="117" t="str">
        <f>_xlfn.XLOOKUP(ROW(B67)+1-ROW(B$59),報告用!$AC$44:$AC$87,報告用!$F$44:$F$87,"",FALSE)</f>
        <v/>
      </c>
      <c r="C67" s="129" t="str">
        <f>_xlfn.XLOOKUP(ROW(C67)+1-ROW(C$59),報告用!$AC$44:$AC$87,報告用!$G$44:$G$87,"",FALSE)</f>
        <v/>
      </c>
      <c r="D67" s="130" t="str">
        <f t="shared" si="12"/>
        <v/>
      </c>
      <c r="E67" s="118" t="str">
        <f>IF(_xlfn.XLOOKUP(ROW(E67)+1-ROW(E$59),報告用!$AC$44:$AC$87,報告用!$E$44:$E$87,"",FALSE)=B67,"",_xlfn.XLOOKUP(ROW(E67)+1-ROW(E$59),報告用!$AC$44:$AC$87,報告用!$E$44:$E$87,"",FALSE))</f>
        <v/>
      </c>
      <c r="F67" s="110"/>
      <c r="G67" s="179" t="s">
        <v>25</v>
      </c>
      <c r="H67" s="119">
        <f>_xlfn.XLOOKUP(ROW(H67)+1-ROW(H$67),報告用!$AK$44:$AK$87,報告用!$F$44:$F$87,"",FALSE)</f>
        <v>23</v>
      </c>
      <c r="I67" s="123" t="str">
        <f>_xlfn.XLOOKUP(ROW(I67)+1-ROW(I$67),報告用!$AK$44:$AK$87,報告用!$G$44:$G$87,"",FALSE)</f>
        <v>森下計二</v>
      </c>
      <c r="J67" s="124" t="str">
        <f>IF(I67="","","様")</f>
        <v>様</v>
      </c>
      <c r="K67" s="120" t="str">
        <f>IF(_xlfn.XLOOKUP(ROW(K67)+1-ROW(K$67),報告用!$AK$44:$AK$87,報告用!$E$44:$E$87,"",FALSE)=H67,"",_xlfn.XLOOKUP(ROW(K67)+1-ROW(K$67),報告用!$AK$44:$AK$87,報告用!$E$44:$E$87,"",FALSE))</f>
        <v/>
      </c>
      <c r="L67" s="111"/>
      <c r="M67" s="179" t="s">
        <v>25</v>
      </c>
      <c r="N67" s="119">
        <f>_xlfn.XLOOKUP(ROW(N67)+1-ROW(N$67),報告用!$AL$44:$AL$87,報告用!$F$44:$F$87,"",FALSE)</f>
        <v>23</v>
      </c>
      <c r="O67" s="123" t="str">
        <f>_xlfn.XLOOKUP(ROW(O67)+1-ROW(O$67),報告用!$AL$44:$AL$87,報告用!$G$44:$G$87,"",FALSE)</f>
        <v>森下計二</v>
      </c>
      <c r="P67" s="124" t="str">
        <f>IF(O67="","","様")</f>
        <v>様</v>
      </c>
      <c r="Q67" s="120" t="str">
        <f>IF(_xlfn.XLOOKUP(ROW(Q67)+1-ROW(Q$67),報告用!$AL$44:$AL$87,報告用!$E$44:$E$87,"",FALSE)=N67,"",_xlfn.XLOOKUP(ROW(Q67)+1-ROW(Q$67),報告用!$AL$44:$AL$87,報告用!$E$44:$E$87,"",FALSE))</f>
        <v/>
      </c>
    </row>
    <row r="68" spans="1:17" ht="19.5" customHeight="1">
      <c r="A68" s="180"/>
      <c r="B68" s="117" t="str">
        <f>_xlfn.XLOOKUP(ROW(B68)+1-ROW(B$59),報告用!$AC$44:$AC$87,報告用!$F$44:$F$87,"",FALSE)</f>
        <v/>
      </c>
      <c r="C68" s="129" t="str">
        <f>_xlfn.XLOOKUP(ROW(C68)+1-ROW(C$59),報告用!$AC$44:$AC$87,報告用!$G$44:$G$87,"",FALSE)</f>
        <v/>
      </c>
      <c r="D68" s="130" t="str">
        <f t="shared" si="12"/>
        <v/>
      </c>
      <c r="E68" s="118" t="str">
        <f>IF(_xlfn.XLOOKUP(ROW(E68)+1-ROW(E$59),報告用!$AC$44:$AC$87,報告用!$E$44:$E$87,"",FALSE)=B68,"",_xlfn.XLOOKUP(ROW(E68)+1-ROW(E$59),報告用!$AC$44:$AC$87,報告用!$E$44:$E$87,"",FALSE))</f>
        <v/>
      </c>
      <c r="F68" s="110"/>
      <c r="G68" s="180"/>
      <c r="H68" s="119">
        <f>_xlfn.XLOOKUP(ROW(H68)+1-ROW(H$67),報告用!$AK$44:$AK$87,報告用!$F$44:$F$87,"",FALSE)</f>
        <v>23</v>
      </c>
      <c r="I68" s="123" t="str">
        <f>_xlfn.XLOOKUP(ROW(I68)+1-ROW(I$67),報告用!$AK$44:$AK$87,報告用!$G$44:$G$87,"",FALSE)</f>
        <v>遠山　貞一</v>
      </c>
      <c r="J68" s="124" t="str">
        <f t="shared" ref="J68:J81" si="15">IF(I68="","","様")</f>
        <v>様</v>
      </c>
      <c r="K68" s="120" t="str">
        <f>IF(_xlfn.XLOOKUP(ROW(K68)+1-ROW(K$67),報告用!$AK$44:$AK$87,報告用!$E$44:$E$87,"",FALSE)=H68,"",_xlfn.XLOOKUP(ROW(K68)+1-ROW(K$67),報告用!$AK$44:$AK$87,報告用!$E$44:$E$87,"",FALSE))</f>
        <v/>
      </c>
      <c r="L68" s="111"/>
      <c r="M68" s="180"/>
      <c r="N68" s="119">
        <f>_xlfn.XLOOKUP(ROW(N68)+1-ROW(N$67),報告用!$AL$44:$AL$87,報告用!$F$44:$F$87,"",FALSE)</f>
        <v>23</v>
      </c>
      <c r="O68" s="123" t="str">
        <f>_xlfn.XLOOKUP(ROW(O68)+1-ROW(O$67),報告用!$AL$44:$AL$87,報告用!$G$44:$G$87,"",FALSE)</f>
        <v>遠山　貞一</v>
      </c>
      <c r="P68" s="124" t="str">
        <f t="shared" ref="P68:P81" si="16">IF(O68="","","様")</f>
        <v>様</v>
      </c>
      <c r="Q68" s="120" t="str">
        <f>IF(_xlfn.XLOOKUP(ROW(Q68)+1-ROW(Q$67),報告用!$AL$44:$AL$87,報告用!$E$44:$E$87,"",FALSE)=N68,"",_xlfn.XLOOKUP(ROW(Q68)+1-ROW(Q$67),報告用!$AL$44:$AL$87,報告用!$E$44:$E$87,"",FALSE))</f>
        <v/>
      </c>
    </row>
    <row r="69" spans="1:17" ht="19.5" customHeight="1">
      <c r="A69" s="180"/>
      <c r="B69" s="117" t="str">
        <f>_xlfn.XLOOKUP(ROW(B69)+1-ROW(B$59),報告用!$AC$44:$AC$87,報告用!$F$44:$F$87,"",FALSE)</f>
        <v/>
      </c>
      <c r="C69" s="129" t="str">
        <f>_xlfn.XLOOKUP(ROW(C69)+1-ROW(C$59),報告用!$AC$44:$AC$87,報告用!$G$44:$G$87,"",FALSE)</f>
        <v/>
      </c>
      <c r="D69" s="130" t="str">
        <f t="shared" si="12"/>
        <v/>
      </c>
      <c r="E69" s="118" t="str">
        <f>IF(_xlfn.XLOOKUP(ROW(E69)+1-ROW(E$59),報告用!$AC$44:$AC$87,報告用!$E$44:$E$87,"",FALSE)=B69,"",_xlfn.XLOOKUP(ROW(E69)+1-ROW(E$59),報告用!$AC$44:$AC$87,報告用!$E$44:$E$87,"",FALSE))</f>
        <v/>
      </c>
      <c r="F69" s="110"/>
      <c r="G69" s="180"/>
      <c r="H69" s="119">
        <f>_xlfn.XLOOKUP(ROW(H69)+1-ROW(H$67),報告用!$AK$44:$AK$87,報告用!$F$44:$F$87,"",FALSE)</f>
        <v>25</v>
      </c>
      <c r="I69" s="123" t="str">
        <f>_xlfn.XLOOKUP(ROW(I69)+1-ROW(I$67),報告用!$AK$44:$AK$87,報告用!$G$44:$G$87,"",FALSE)</f>
        <v>千野　周恵</v>
      </c>
      <c r="J69" s="124" t="str">
        <f t="shared" si="15"/>
        <v>様</v>
      </c>
      <c r="K69" s="120" t="str">
        <f>IF(_xlfn.XLOOKUP(ROW(K69)+1-ROW(K$67),報告用!$AK$44:$AK$87,報告用!$E$44:$E$87,"",FALSE)=H69,"",_xlfn.XLOOKUP(ROW(K69)+1-ROW(K$67),報告用!$AK$44:$AK$87,報告用!$E$44:$E$87,"",FALSE))</f>
        <v/>
      </c>
      <c r="L69" s="111"/>
      <c r="M69" s="180"/>
      <c r="N69" s="119">
        <f>_xlfn.XLOOKUP(ROW(N69)+1-ROW(N$67),報告用!$AL$44:$AL$87,報告用!$F$44:$F$87,"",FALSE)</f>
        <v>25</v>
      </c>
      <c r="O69" s="123" t="str">
        <f>_xlfn.XLOOKUP(ROW(O69)+1-ROW(O$67),報告用!$AL$44:$AL$87,報告用!$G$44:$G$87,"",FALSE)</f>
        <v>千野　周恵</v>
      </c>
      <c r="P69" s="124" t="str">
        <f t="shared" si="16"/>
        <v>様</v>
      </c>
      <c r="Q69" s="120" t="str">
        <f>IF(_xlfn.XLOOKUP(ROW(Q69)+1-ROW(Q$67),報告用!$AL$44:$AL$87,報告用!$E$44:$E$87,"",FALSE)=N69,"",_xlfn.XLOOKUP(ROW(Q69)+1-ROW(Q$67),報告用!$AL$44:$AL$87,報告用!$E$44:$E$87,"",FALSE))</f>
        <v/>
      </c>
    </row>
    <row r="70" spans="1:17" ht="19.5" customHeight="1" thickBot="1">
      <c r="A70" s="187"/>
      <c r="B70" s="112" t="str">
        <f>_xlfn.XLOOKUP(ROW(B70)+1-ROW(B$59),報告用!$AC$44:$AC$87,報告用!$F$44:$F$87,"",FALSE)</f>
        <v/>
      </c>
      <c r="C70" s="131" t="str">
        <f>_xlfn.XLOOKUP(ROW(C70)+1-ROW(C$59),報告用!$AC$44:$AC$87,報告用!$G$44:$G$87,"",FALSE)</f>
        <v/>
      </c>
      <c r="D70" s="113" t="str">
        <f t="shared" si="12"/>
        <v/>
      </c>
      <c r="E70" s="114" t="str">
        <f>IF(_xlfn.XLOOKUP(ROW(E70)+1-ROW(E$59),報告用!$AC$44:$AC$87,報告用!$E$44:$E$87,"",FALSE)=B70,"",_xlfn.XLOOKUP(ROW(E70)+1-ROW(E$59),報告用!$AC$44:$AC$87,報告用!$E$44:$E$87,"",FALSE))</f>
        <v/>
      </c>
      <c r="F70" s="110"/>
      <c r="G70" s="180"/>
      <c r="H70" s="119">
        <f>_xlfn.XLOOKUP(ROW(H70)+1-ROW(H$67),報告用!$AK$44:$AK$87,報告用!$F$44:$F$87,"",FALSE)</f>
        <v>25</v>
      </c>
      <c r="I70" s="123" t="str">
        <f>_xlfn.XLOOKUP(ROW(I70)+1-ROW(I$67),報告用!$AK$44:$AK$87,報告用!$G$44:$G$87,"",FALSE)</f>
        <v>鈴木　賢浄</v>
      </c>
      <c r="J70" s="124" t="str">
        <f t="shared" si="15"/>
        <v>様</v>
      </c>
      <c r="K70" s="120" t="str">
        <f>IF(_xlfn.XLOOKUP(ROW(K70)+1-ROW(K$67),報告用!$AK$44:$AK$87,報告用!$E$44:$E$87,"",FALSE)=H70,"",_xlfn.XLOOKUP(ROW(K70)+1-ROW(K$67),報告用!$AK$44:$AK$87,報告用!$E$44:$E$87,"",FALSE))</f>
        <v/>
      </c>
      <c r="L70" s="111"/>
      <c r="M70" s="180"/>
      <c r="N70" s="119">
        <f>_xlfn.XLOOKUP(ROW(N70)+1-ROW(N$67),報告用!$AL$44:$AL$87,報告用!$F$44:$F$87,"",FALSE)</f>
        <v>25</v>
      </c>
      <c r="O70" s="123" t="str">
        <f>_xlfn.XLOOKUP(ROW(O70)+1-ROW(O$67),報告用!$AL$44:$AL$87,報告用!$G$44:$G$87,"",FALSE)</f>
        <v>鈴木　賢浄</v>
      </c>
      <c r="P70" s="124" t="str">
        <f t="shared" si="16"/>
        <v>様</v>
      </c>
      <c r="Q70" s="120" t="str">
        <f>IF(_xlfn.XLOOKUP(ROW(Q70)+1-ROW(Q$67),報告用!$AL$44:$AL$87,報告用!$E$44:$E$87,"",FALSE)=N70,"",_xlfn.XLOOKUP(ROW(Q70)+1-ROW(Q$67),報告用!$AL$44:$AL$87,報告用!$E$44:$E$87,"",FALSE))</f>
        <v/>
      </c>
    </row>
    <row r="71" spans="1:17" ht="19.5" customHeight="1" thickTop="1">
      <c r="A71" s="197" t="s">
        <v>37</v>
      </c>
      <c r="B71" s="119">
        <f>_xlfn.XLOOKUP(ROW(B71)+1-ROW(B$71),報告用!$AD$44:$AD$87,報告用!$F$44:$F$87,"",FALSE)</f>
        <v>25</v>
      </c>
      <c r="C71" s="123" t="str">
        <f>_xlfn.XLOOKUP(ROW(C71)+1-ROW(C$71),報告用!$AD$44:$AD$87,報告用!$G$44:$G$87,"",FALSE)</f>
        <v>千野　周恵</v>
      </c>
      <c r="D71" s="124" t="str">
        <f>IF(C71="","","様")</f>
        <v>様</v>
      </c>
      <c r="E71" s="120" t="str">
        <f>IF(_xlfn.XLOOKUP(ROW(E71)+1-ROW(E$71),報告用!$AD$44:$AD$87,報告用!$E$44:$E$87,"",FALSE)=B71,"",_xlfn.XLOOKUP(ROW(E71)+1-ROW(E$71),報告用!$AD$44:$AD$87,報告用!$E$44:$E$87,"",FALSE))</f>
        <v/>
      </c>
      <c r="F71" s="110"/>
      <c r="G71" s="180"/>
      <c r="H71" s="119">
        <f>_xlfn.XLOOKUP(ROW(H71)+1-ROW(H$67),報告用!$AK$44:$AK$87,報告用!$F$44:$F$87,"",FALSE)</f>
        <v>25</v>
      </c>
      <c r="I71" s="123" t="str">
        <f>_xlfn.XLOOKUP(ROW(I71)+1-ROW(I$67),報告用!$AK$44:$AK$87,報告用!$G$44:$G$87,"",FALSE)</f>
        <v>渡邉　和洋</v>
      </c>
      <c r="J71" s="124" t="str">
        <f t="shared" si="15"/>
        <v>様</v>
      </c>
      <c r="K71" s="120" t="str">
        <f>IF(_xlfn.XLOOKUP(ROW(K71)+1-ROW(K$67),報告用!$AK$44:$AK$87,報告用!$E$44:$E$87,"",FALSE)=H71,"",_xlfn.XLOOKUP(ROW(K71)+1-ROW(K$67),報告用!$AK$44:$AK$87,報告用!$E$44:$E$87,"",FALSE))</f>
        <v/>
      </c>
      <c r="L71" s="111"/>
      <c r="M71" s="180"/>
      <c r="N71" s="119">
        <f>_xlfn.XLOOKUP(ROW(N71)+1-ROW(N$67),報告用!$AL$44:$AL$87,報告用!$F$44:$F$87,"",FALSE)</f>
        <v>25</v>
      </c>
      <c r="O71" s="123" t="str">
        <f>_xlfn.XLOOKUP(ROW(O71)+1-ROW(O$67),報告用!$AL$44:$AL$87,報告用!$G$44:$G$87,"",FALSE)</f>
        <v>渡邉　和洋</v>
      </c>
      <c r="P71" s="124" t="str">
        <f t="shared" si="16"/>
        <v>様</v>
      </c>
      <c r="Q71" s="120" t="str">
        <f>IF(_xlfn.XLOOKUP(ROW(Q71)+1-ROW(Q$67),報告用!$AL$44:$AL$87,報告用!$E$44:$E$87,"",FALSE)=N71,"",_xlfn.XLOOKUP(ROW(Q71)+1-ROW(Q$67),報告用!$AL$44:$AL$87,報告用!$E$44:$E$87,"",FALSE))</f>
        <v/>
      </c>
    </row>
    <row r="72" spans="1:17" ht="19.5" customHeight="1">
      <c r="A72" s="180"/>
      <c r="B72" s="119">
        <f>_xlfn.XLOOKUP(ROW(B72)+1-ROW(B$71),報告用!$AD$44:$AD$87,報告用!$F$44:$F$87,"",FALSE)</f>
        <v>2</v>
      </c>
      <c r="C72" s="123" t="str">
        <f>_xlfn.XLOOKUP(ROW(C72)+1-ROW(C$71),報告用!$AD$44:$AD$87,報告用!$G$44:$G$87,"",FALSE)</f>
        <v>小林　登志子</v>
      </c>
      <c r="D72" s="124" t="str">
        <f t="shared" ref="D72:D78" si="17">IF(C72="","","様")</f>
        <v>様</v>
      </c>
      <c r="E72" s="120" t="str">
        <f>IF(_xlfn.XLOOKUP(ROW(E72)+1-ROW(E$71),報告用!$AD$44:$AD$87,報告用!$E$44:$E$87,"",FALSE)=B72,"",_xlfn.XLOOKUP(ROW(E72)+1-ROW(E$71),報告用!$AD$44:$AD$87,報告用!$E$44:$E$87,"",FALSE))</f>
        <v/>
      </c>
      <c r="F72" s="110"/>
      <c r="G72" s="180"/>
      <c r="H72" s="119">
        <f>_xlfn.XLOOKUP(ROW(H72)+1-ROW(H$67),報告用!$AK$44:$AK$87,報告用!$F$44:$F$87,"",FALSE)</f>
        <v>25</v>
      </c>
      <c r="I72" s="123" t="str">
        <f>_xlfn.XLOOKUP(ROW(I72)+1-ROW(I$67),報告用!$AK$44:$AK$87,報告用!$G$44:$G$87,"",FALSE)</f>
        <v>内藤　範治</v>
      </c>
      <c r="J72" s="124" t="str">
        <f t="shared" si="15"/>
        <v>様</v>
      </c>
      <c r="K72" s="120">
        <f>IF(_xlfn.XLOOKUP(ROW(K72)+1-ROW(K$67),報告用!$AK$44:$AK$87,報告用!$E$44:$E$87,"",FALSE)=H72,"",_xlfn.XLOOKUP(ROW(K72)+1-ROW(K$67),報告用!$AK$44:$AK$87,報告用!$E$44:$E$87,"",FALSE))</f>
        <v>2</v>
      </c>
      <c r="L72" s="111"/>
      <c r="M72" s="180"/>
      <c r="N72" s="119">
        <f>_xlfn.XLOOKUP(ROW(N72)+1-ROW(N$67),報告用!$AL$44:$AL$87,報告用!$F$44:$F$87,"",FALSE)</f>
        <v>25</v>
      </c>
      <c r="O72" s="123" t="str">
        <f>_xlfn.XLOOKUP(ROW(O72)+1-ROW(O$67),報告用!$AL$44:$AL$87,報告用!$G$44:$G$87,"",FALSE)</f>
        <v>内藤　範治</v>
      </c>
      <c r="P72" s="124" t="str">
        <f t="shared" si="16"/>
        <v>様</v>
      </c>
      <c r="Q72" s="120">
        <f>IF(_xlfn.XLOOKUP(ROW(Q72)+1-ROW(Q$67),報告用!$AL$44:$AL$87,報告用!$E$44:$E$87,"",FALSE)=N72,"",_xlfn.XLOOKUP(ROW(Q72)+1-ROW(Q$67),報告用!$AL$44:$AL$87,報告用!$E$44:$E$87,"",FALSE))</f>
        <v>2</v>
      </c>
    </row>
    <row r="73" spans="1:17" ht="19.5" customHeight="1">
      <c r="A73" s="180"/>
      <c r="B73" s="119" t="str">
        <f>_xlfn.XLOOKUP(ROW(B73)+1-ROW(B$71),報告用!$AD$44:$AD$87,報告用!$F$44:$F$87,"",FALSE)</f>
        <v/>
      </c>
      <c r="C73" s="123" t="str">
        <f>_xlfn.XLOOKUP(ROW(C73)+1-ROW(C$71),報告用!$AD$44:$AD$87,報告用!$G$44:$G$87,"",FALSE)</f>
        <v/>
      </c>
      <c r="D73" s="124" t="str">
        <f t="shared" si="17"/>
        <v/>
      </c>
      <c r="E73" s="120" t="str">
        <f>IF(_xlfn.XLOOKUP(ROW(E73)+1-ROW(E$71),報告用!$AD$44:$AD$87,報告用!$E$44:$E$87,"",FALSE)=B73,"",_xlfn.XLOOKUP(ROW(E73)+1-ROW(E$71),報告用!$AD$44:$AD$87,報告用!$E$44:$E$87,"",FALSE))</f>
        <v/>
      </c>
      <c r="F73" s="110"/>
      <c r="G73" s="180"/>
      <c r="H73" s="119">
        <f>_xlfn.XLOOKUP(ROW(H73)+1-ROW(H$67),報告用!$AK$44:$AK$87,報告用!$F$44:$F$87,"",FALSE)</f>
        <v>1</v>
      </c>
      <c r="I73" s="123" t="str">
        <f>_xlfn.XLOOKUP(ROW(I73)+1-ROW(I$67),報告用!$AK$44:$AK$87,報告用!$G$44:$G$87,"",FALSE)</f>
        <v>笹本　定子</v>
      </c>
      <c r="J73" s="124" t="str">
        <f t="shared" si="15"/>
        <v>様</v>
      </c>
      <c r="K73" s="120" t="str">
        <f>IF(_xlfn.XLOOKUP(ROW(K73)+1-ROW(K$67),報告用!$AK$44:$AK$87,報告用!$E$44:$E$87,"",FALSE)=H73,"",_xlfn.XLOOKUP(ROW(K73)+1-ROW(K$67),報告用!$AK$44:$AK$87,報告用!$E$44:$E$87,"",FALSE))</f>
        <v/>
      </c>
      <c r="L73" s="111"/>
      <c r="M73" s="180"/>
      <c r="N73" s="119">
        <f>_xlfn.XLOOKUP(ROW(N73)+1-ROW(N$67),報告用!$AL$44:$AL$87,報告用!$F$44:$F$87,"",FALSE)</f>
        <v>1</v>
      </c>
      <c r="O73" s="123" t="str">
        <f>_xlfn.XLOOKUP(ROW(O73)+1-ROW(O$67),報告用!$AL$44:$AL$87,報告用!$G$44:$G$87,"",FALSE)</f>
        <v>太田　恵須子</v>
      </c>
      <c r="P73" s="124" t="str">
        <f t="shared" si="16"/>
        <v>様</v>
      </c>
      <c r="Q73" s="120" t="str">
        <f>IF(_xlfn.XLOOKUP(ROW(Q73)+1-ROW(Q$67),報告用!$AL$44:$AL$87,報告用!$E$44:$E$87,"",FALSE)=N73,"",_xlfn.XLOOKUP(ROW(Q73)+1-ROW(Q$67),報告用!$AL$44:$AL$87,報告用!$E$44:$E$87,"",FALSE))</f>
        <v/>
      </c>
    </row>
    <row r="74" spans="1:17" ht="19.5" customHeight="1">
      <c r="A74" s="180"/>
      <c r="B74" s="119" t="str">
        <f>_xlfn.XLOOKUP(ROW(B74)+1-ROW(B$71),報告用!$AD$44:$AD$87,報告用!$F$44:$F$87,"",FALSE)</f>
        <v/>
      </c>
      <c r="C74" s="123" t="str">
        <f>_xlfn.XLOOKUP(ROW(C74)+1-ROW(C$71),報告用!$AD$44:$AD$87,報告用!$G$44:$G$87,"",FALSE)</f>
        <v/>
      </c>
      <c r="D74" s="124" t="str">
        <f t="shared" si="17"/>
        <v/>
      </c>
      <c r="E74" s="120" t="str">
        <f>IF(_xlfn.XLOOKUP(ROW(E74)+1-ROW(E$71),報告用!$AD$44:$AD$87,報告用!$E$44:$E$87,"",FALSE)=B74,"",_xlfn.XLOOKUP(ROW(E74)+1-ROW(E$71),報告用!$AD$44:$AD$87,報告用!$E$44:$E$87,"",FALSE))</f>
        <v/>
      </c>
      <c r="F74" s="110"/>
      <c r="G74" s="180"/>
      <c r="H74" s="119">
        <f>_xlfn.XLOOKUP(ROW(H74)+1-ROW(H$67),報告用!$AK$44:$AK$87,報告用!$F$44:$F$87,"",FALSE)</f>
        <v>3</v>
      </c>
      <c r="I74" s="123" t="str">
        <f>_xlfn.XLOOKUP(ROW(I74)+1-ROW(I$67),報告用!$AK$44:$AK$87,報告用!$G$44:$G$87,"",FALSE)</f>
        <v>大森　俊子</v>
      </c>
      <c r="J74" s="124" t="str">
        <f t="shared" si="15"/>
        <v>様</v>
      </c>
      <c r="K74" s="120" t="str">
        <f>IF(_xlfn.XLOOKUP(ROW(K74)+1-ROW(K$67),報告用!$AK$44:$AK$87,報告用!$E$44:$E$87,"",FALSE)=H74,"",_xlfn.XLOOKUP(ROW(K74)+1-ROW(K$67),報告用!$AK$44:$AK$87,報告用!$E$44:$E$87,"",FALSE))</f>
        <v/>
      </c>
      <c r="L74" s="111"/>
      <c r="M74" s="180"/>
      <c r="N74" s="119">
        <f>_xlfn.XLOOKUP(ROW(N74)+1-ROW(N$67),報告用!$AL$44:$AL$87,報告用!$F$44:$F$87,"",FALSE)</f>
        <v>1</v>
      </c>
      <c r="O74" s="123" t="str">
        <f>_xlfn.XLOOKUP(ROW(O74)+1-ROW(O$67),報告用!$AL$44:$AL$87,報告用!$G$44:$G$87,"",FALSE)</f>
        <v>笹本　定子</v>
      </c>
      <c r="P74" s="124" t="str">
        <f t="shared" si="16"/>
        <v>様</v>
      </c>
      <c r="Q74" s="120" t="str">
        <f>IF(_xlfn.XLOOKUP(ROW(Q74)+1-ROW(Q$67),報告用!$AL$44:$AL$87,報告用!$E$44:$E$87,"",FALSE)=N74,"",_xlfn.XLOOKUP(ROW(Q74)+1-ROW(Q$67),報告用!$AL$44:$AL$87,報告用!$E$44:$E$87,"",FALSE))</f>
        <v/>
      </c>
    </row>
    <row r="75" spans="1:17" ht="19.5" customHeight="1">
      <c r="A75" s="180"/>
      <c r="B75" s="119" t="str">
        <f>_xlfn.XLOOKUP(ROW(B75)+1-ROW(B$71),報告用!$AD$44:$AD$87,報告用!$F$44:$F$87,"",FALSE)</f>
        <v/>
      </c>
      <c r="C75" s="123" t="str">
        <f>_xlfn.XLOOKUP(ROW(C75)+1-ROW(C$71),報告用!$AD$44:$AD$87,報告用!$G$44:$G$87,"",FALSE)</f>
        <v/>
      </c>
      <c r="D75" s="124" t="str">
        <f t="shared" si="17"/>
        <v/>
      </c>
      <c r="E75" s="120" t="str">
        <f>IF(_xlfn.XLOOKUP(ROW(E75)+1-ROW(E$71),報告用!$AD$44:$AD$87,報告用!$E$44:$E$87,"",FALSE)=B75,"",_xlfn.XLOOKUP(ROW(E75)+1-ROW(E$71),報告用!$AD$44:$AD$87,報告用!$E$44:$E$87,"",FALSE))</f>
        <v/>
      </c>
      <c r="F75" s="110"/>
      <c r="G75" s="180"/>
      <c r="H75" s="119">
        <f>_xlfn.XLOOKUP(ROW(H75)+1-ROW(H$67),報告用!$AK$44:$AK$87,報告用!$F$44:$F$87,"",FALSE)</f>
        <v>5</v>
      </c>
      <c r="I75" s="123" t="str">
        <f>_xlfn.XLOOKUP(ROW(I75)+1-ROW(I$67),報告用!$AK$44:$AK$87,報告用!$G$44:$G$87,"",FALSE)</f>
        <v>高田 保英</v>
      </c>
      <c r="J75" s="124" t="str">
        <f t="shared" si="15"/>
        <v>様</v>
      </c>
      <c r="K75" s="120">
        <f>IF(_xlfn.XLOOKUP(ROW(K75)+1-ROW(K$67),報告用!$AK$44:$AK$87,報告用!$E$44:$E$87,"",FALSE)=H75,"",_xlfn.XLOOKUP(ROW(K75)+1-ROW(K$67),報告用!$AK$44:$AK$87,報告用!$E$44:$E$87,"",FALSE))</f>
        <v>25</v>
      </c>
      <c r="L75" s="111"/>
      <c r="M75" s="180"/>
      <c r="N75" s="119">
        <f>_xlfn.XLOOKUP(ROW(N75)+1-ROW(N$67),報告用!$AL$44:$AL$87,報告用!$F$44:$F$87,"",FALSE)</f>
        <v>5</v>
      </c>
      <c r="O75" s="123" t="str">
        <f>_xlfn.XLOOKUP(ROW(O75)+1-ROW(O$67),報告用!$AL$44:$AL$87,報告用!$G$44:$G$87,"",FALSE)</f>
        <v>高田 保英</v>
      </c>
      <c r="P75" s="124" t="str">
        <f t="shared" si="16"/>
        <v>様</v>
      </c>
      <c r="Q75" s="120">
        <f>IF(_xlfn.XLOOKUP(ROW(Q75)+1-ROW(Q$67),報告用!$AL$44:$AL$87,報告用!$E$44:$E$87,"",FALSE)=N75,"",_xlfn.XLOOKUP(ROW(Q75)+1-ROW(Q$67),報告用!$AL$44:$AL$87,報告用!$E$44:$E$87,"",FALSE))</f>
        <v>25</v>
      </c>
    </row>
    <row r="76" spans="1:17" ht="19.5" customHeight="1">
      <c r="A76" s="180"/>
      <c r="B76" s="119" t="str">
        <f>_xlfn.XLOOKUP(ROW(B76)+1-ROW(B$71),報告用!$AD$44:$AD$87,報告用!$F$44:$F$87,"",FALSE)</f>
        <v/>
      </c>
      <c r="C76" s="123" t="str">
        <f>_xlfn.XLOOKUP(ROW(C76)+1-ROW(C$71),報告用!$AD$44:$AD$87,報告用!$G$44:$G$87,"",FALSE)</f>
        <v/>
      </c>
      <c r="D76" s="124" t="str">
        <f t="shared" si="17"/>
        <v/>
      </c>
      <c r="E76" s="120" t="str">
        <f>IF(_xlfn.XLOOKUP(ROW(E76)+1-ROW(E$71),報告用!$AD$44:$AD$87,報告用!$E$44:$E$87,"",FALSE)=B76,"",_xlfn.XLOOKUP(ROW(E76)+1-ROW(E$71),報告用!$AD$44:$AD$87,報告用!$E$44:$E$87,"",FALSE))</f>
        <v/>
      </c>
      <c r="F76" s="110"/>
      <c r="G76" s="180"/>
      <c r="H76" s="119">
        <f>_xlfn.XLOOKUP(ROW(H76)+1-ROW(H$67),報告用!$AK$44:$AK$87,報告用!$F$44:$F$87,"",FALSE)</f>
        <v>6</v>
      </c>
      <c r="I76" s="123" t="str">
        <f>_xlfn.XLOOKUP(ROW(I76)+1-ROW(I$67),報告用!$AK$44:$AK$87,報告用!$G$44:$G$87,"",FALSE)</f>
        <v>フジイロザスミコ</v>
      </c>
      <c r="J76" s="124" t="str">
        <f t="shared" si="15"/>
        <v>様</v>
      </c>
      <c r="K76" s="120" t="str">
        <f>IF(_xlfn.XLOOKUP(ROW(K76)+1-ROW(K$67),報告用!$AK$44:$AK$87,報告用!$E$44:$E$87,"",FALSE)=H76,"",_xlfn.XLOOKUP(ROW(K76)+1-ROW(K$67),報告用!$AK$44:$AK$87,報告用!$E$44:$E$87,"",FALSE))</f>
        <v/>
      </c>
      <c r="L76" s="111"/>
      <c r="M76" s="180"/>
      <c r="N76" s="119">
        <f>_xlfn.XLOOKUP(ROW(N76)+1-ROW(N$67),報告用!$AL$44:$AL$87,報告用!$F$44:$F$87,"",FALSE)</f>
        <v>6</v>
      </c>
      <c r="O76" s="123" t="str">
        <f>_xlfn.XLOOKUP(ROW(O76)+1-ROW(O$67),報告用!$AL$44:$AL$87,報告用!$G$44:$G$87,"",FALSE)</f>
        <v>フジイロザスミコ</v>
      </c>
      <c r="P76" s="124" t="str">
        <f t="shared" si="16"/>
        <v>様</v>
      </c>
      <c r="Q76" s="120" t="str">
        <f>IF(_xlfn.XLOOKUP(ROW(Q76)+1-ROW(Q$67),報告用!$AL$44:$AL$87,報告用!$E$44:$E$87,"",FALSE)=N76,"",_xlfn.XLOOKUP(ROW(Q76)+1-ROW(Q$67),報告用!$AL$44:$AL$87,報告用!$E$44:$E$87,"",FALSE))</f>
        <v/>
      </c>
    </row>
    <row r="77" spans="1:17" ht="19.5" customHeight="1">
      <c r="A77" s="180"/>
      <c r="B77" s="119" t="str">
        <f>_xlfn.XLOOKUP(ROW(B77)+1-ROW(B$71),報告用!$AD$44:$AD$87,報告用!$F$44:$F$87,"",FALSE)</f>
        <v/>
      </c>
      <c r="C77" s="123" t="str">
        <f>_xlfn.XLOOKUP(ROW(C77)+1-ROW(C$71),報告用!$AD$44:$AD$87,報告用!$G$44:$G$87,"",FALSE)</f>
        <v/>
      </c>
      <c r="D77" s="124" t="str">
        <f t="shared" si="17"/>
        <v/>
      </c>
      <c r="E77" s="120" t="str">
        <f>IF(_xlfn.XLOOKUP(ROW(E77)+1-ROW(E$71),報告用!$AD$44:$AD$87,報告用!$E$44:$E$87,"",FALSE)=B77,"",_xlfn.XLOOKUP(ROW(E77)+1-ROW(E$71),報告用!$AD$44:$AD$87,報告用!$E$44:$E$87,"",FALSE))</f>
        <v/>
      </c>
      <c r="F77" s="110"/>
      <c r="G77" s="180"/>
      <c r="H77" s="119">
        <f>_xlfn.XLOOKUP(ROW(H77)+1-ROW(H$67),報告用!$AK$44:$AK$87,報告用!$F$44:$F$87,"",FALSE)</f>
        <v>6</v>
      </c>
      <c r="I77" s="123" t="str">
        <f>_xlfn.XLOOKUP(ROW(I77)+1-ROW(I$67),報告用!$AK$44:$AK$87,報告用!$G$44:$G$87,"",FALSE)</f>
        <v>一瀨　好恵</v>
      </c>
      <c r="J77" s="124" t="str">
        <f t="shared" si="15"/>
        <v>様</v>
      </c>
      <c r="K77" s="120">
        <f>IF(_xlfn.XLOOKUP(ROW(K77)+1-ROW(K$67),報告用!$AK$44:$AK$87,報告用!$E$44:$E$87,"",FALSE)=H77,"",_xlfn.XLOOKUP(ROW(K77)+1-ROW(K$67),報告用!$AK$44:$AK$87,報告用!$E$44:$E$87,"",FALSE))</f>
        <v>5</v>
      </c>
      <c r="L77" s="111"/>
      <c r="M77" s="180"/>
      <c r="N77" s="119">
        <f>_xlfn.XLOOKUP(ROW(N77)+1-ROW(N$67),報告用!$AL$44:$AL$87,報告用!$F$44:$F$87,"",FALSE)</f>
        <v>6</v>
      </c>
      <c r="O77" s="123" t="str">
        <f>_xlfn.XLOOKUP(ROW(O77)+1-ROW(O$67),報告用!$AL$44:$AL$87,報告用!$G$44:$G$87,"",FALSE)</f>
        <v>一瀨　好恵</v>
      </c>
      <c r="P77" s="124" t="str">
        <f t="shared" si="16"/>
        <v>様</v>
      </c>
      <c r="Q77" s="120">
        <f>IF(_xlfn.XLOOKUP(ROW(Q77)+1-ROW(Q$67),報告用!$AL$44:$AL$87,報告用!$E$44:$E$87,"",FALSE)=N77,"",_xlfn.XLOOKUP(ROW(Q77)+1-ROW(Q$67),報告用!$AL$44:$AL$87,報告用!$E$44:$E$87,"",FALSE))</f>
        <v>5</v>
      </c>
    </row>
    <row r="78" spans="1:17" ht="19.5" customHeight="1" thickBot="1">
      <c r="A78" s="187"/>
      <c r="B78" s="112" t="str">
        <f>_xlfn.XLOOKUP(ROW(B78)+1-ROW(B$71),報告用!$AD$44:$AD$87,報告用!$F$44:$F$87,"",FALSE)</f>
        <v/>
      </c>
      <c r="C78" s="131" t="str">
        <f>_xlfn.XLOOKUP(ROW(C78)+1-ROW(C$71),報告用!$AD$44:$AD$87,報告用!$G$44:$G$87,"",FALSE)</f>
        <v/>
      </c>
      <c r="D78" s="113" t="str">
        <f t="shared" si="17"/>
        <v/>
      </c>
      <c r="E78" s="114" t="str">
        <f>IF(_xlfn.XLOOKUP(ROW(E78)+1-ROW(E$71),報告用!$AD$44:$AD$87,報告用!$E$44:$E$87,"",FALSE)=B78,"",_xlfn.XLOOKUP(ROW(E78)+1-ROW(E$71),報告用!$AD$44:$AD$87,報告用!$E$44:$E$87,"",FALSE))</f>
        <v/>
      </c>
      <c r="F78" s="110"/>
      <c r="G78" s="180"/>
      <c r="H78" s="119">
        <f>_xlfn.XLOOKUP(ROW(H78)+1-ROW(H$67),報告用!$AK$44:$AK$87,報告用!$F$44:$F$87,"",FALSE)</f>
        <v>7</v>
      </c>
      <c r="I78" s="123" t="str">
        <f>_xlfn.XLOOKUP(ROW(I78)+1-ROW(I$67),報告用!$AK$44:$AK$87,報告用!$G$44:$G$87,"",FALSE)</f>
        <v>佐藤　光正</v>
      </c>
      <c r="J78" s="124" t="str">
        <f t="shared" si="15"/>
        <v>様</v>
      </c>
      <c r="K78" s="120" t="str">
        <f>IF(_xlfn.XLOOKUP(ROW(K78)+1-ROW(K$67),報告用!$AK$44:$AK$87,報告用!$E$44:$E$87,"",FALSE)=H78,"",_xlfn.XLOOKUP(ROW(K78)+1-ROW(K$67),報告用!$AK$44:$AK$87,報告用!$E$44:$E$87,"",FALSE))</f>
        <v/>
      </c>
      <c r="L78" s="111"/>
      <c r="M78" s="180"/>
      <c r="N78" s="119">
        <f>_xlfn.XLOOKUP(ROW(N78)+1-ROW(N$67),報告用!$AL$44:$AL$87,報告用!$F$44:$F$87,"",FALSE)</f>
        <v>7</v>
      </c>
      <c r="O78" s="123" t="str">
        <f>_xlfn.XLOOKUP(ROW(O78)+1-ROW(O$67),報告用!$AL$44:$AL$87,報告用!$G$44:$G$87,"",FALSE)</f>
        <v>佐藤　光正</v>
      </c>
      <c r="P78" s="124" t="str">
        <f t="shared" si="16"/>
        <v>様</v>
      </c>
      <c r="Q78" s="120" t="str">
        <f>IF(_xlfn.XLOOKUP(ROW(Q78)+1-ROW(Q$67),報告用!$AL$44:$AL$87,報告用!$E$44:$E$87,"",FALSE)=N78,"",_xlfn.XLOOKUP(ROW(Q78)+1-ROW(Q$67),報告用!$AL$44:$AL$87,報告用!$E$44:$E$87,"",FALSE))</f>
        <v/>
      </c>
    </row>
    <row r="79" spans="1:17" ht="19.5" customHeight="1" thickTop="1">
      <c r="A79" s="197" t="s">
        <v>94</v>
      </c>
      <c r="B79" s="119" t="str">
        <f>_xlfn.XLOOKUP(ROW(B79)+1-ROW(B$79),報告用!$AE$44:$AE$87,報告用!$F$44:$F$87,"",FALSE)</f>
        <v/>
      </c>
      <c r="C79" s="123" t="str">
        <f>_xlfn.XLOOKUP(ROW(C79)+1-ROW(C$79),報告用!$AE$44:$AE$87,報告用!$G$44:$G$87,"",FALSE)</f>
        <v/>
      </c>
      <c r="D79" s="124" t="str">
        <f>IF(C79="","","様")</f>
        <v/>
      </c>
      <c r="E79" s="120" t="str">
        <f>IF(_xlfn.XLOOKUP(ROW(E79)+1-ROW(E$79),報告用!$AE$44:$AE$87,報告用!$E$44:$E$87,"",FALSE)=B79,"",_xlfn.XLOOKUP(ROW(E79)+1-ROW(E$79),報告用!$AE$44:$AE$87,報告用!$E$44:$E$87,"",FALSE))</f>
        <v/>
      </c>
      <c r="F79" s="110"/>
      <c r="G79" s="180"/>
      <c r="H79" s="119">
        <f>_xlfn.XLOOKUP(ROW(H79)+1-ROW(H$67),報告用!$AK$44:$AK$87,報告用!$F$44:$F$87,"",FALSE)</f>
        <v>7</v>
      </c>
      <c r="I79" s="123" t="str">
        <f>_xlfn.XLOOKUP(ROW(I79)+1-ROW(I$67),報告用!$AK$44:$AK$87,報告用!$G$44:$G$87,"",FALSE)</f>
        <v>水上　哲彌</v>
      </c>
      <c r="J79" s="124" t="str">
        <f t="shared" si="15"/>
        <v>様</v>
      </c>
      <c r="K79" s="120" t="str">
        <f>IF(_xlfn.XLOOKUP(ROW(K79)+1-ROW(K$67),報告用!$AK$44:$AK$87,報告用!$E$44:$E$87,"",FALSE)=H79,"",_xlfn.XLOOKUP(ROW(K79)+1-ROW(K$67),報告用!$AK$44:$AK$87,報告用!$E$44:$E$87,"",FALSE))</f>
        <v/>
      </c>
      <c r="L79" s="111"/>
      <c r="M79" s="180"/>
      <c r="N79" s="119">
        <f>_xlfn.XLOOKUP(ROW(N79)+1-ROW(N$67),報告用!$AL$44:$AL$87,報告用!$F$44:$F$87,"",FALSE)</f>
        <v>7</v>
      </c>
      <c r="O79" s="123" t="str">
        <f>_xlfn.XLOOKUP(ROW(O79)+1-ROW(O$67),報告用!$AL$44:$AL$87,報告用!$G$44:$G$87,"",FALSE)</f>
        <v>水上　哲彌</v>
      </c>
      <c r="P79" s="124" t="str">
        <f t="shared" si="16"/>
        <v>様</v>
      </c>
      <c r="Q79" s="120" t="str">
        <f>IF(_xlfn.XLOOKUP(ROW(Q79)+1-ROW(Q$67),報告用!$AL$44:$AL$87,報告用!$E$44:$E$87,"",FALSE)=N79,"",_xlfn.XLOOKUP(ROW(Q79)+1-ROW(Q$67),報告用!$AL$44:$AL$87,報告用!$E$44:$E$87,"",FALSE))</f>
        <v/>
      </c>
    </row>
    <row r="80" spans="1:17" ht="19.5" customHeight="1">
      <c r="A80" s="180"/>
      <c r="B80" s="119" t="str">
        <f>_xlfn.XLOOKUP(ROW(B80)+1-ROW(B$79),報告用!$AE$44:$AE$87,報告用!$F$44:$F$87,"",FALSE)</f>
        <v/>
      </c>
      <c r="C80" s="123" t="str">
        <f>_xlfn.XLOOKUP(ROW(C80)+1-ROW(C$79),報告用!$AE$44:$AE$87,報告用!$G$44:$G$87,"",FALSE)</f>
        <v/>
      </c>
      <c r="D80" s="124" t="str">
        <f>IF(C80="","","様")</f>
        <v/>
      </c>
      <c r="E80" s="120" t="str">
        <f>IF(_xlfn.XLOOKUP(ROW(E80)+1-ROW(E$79),報告用!$AE$44:$AE$87,報告用!$E$44:$E$87,"",FALSE)=B80,"",_xlfn.XLOOKUP(ROW(E80)+1-ROW(E$79),報告用!$AE$44:$AE$87,報告用!$E$44:$E$87,"",FALSE))</f>
        <v/>
      </c>
      <c r="F80" s="110"/>
      <c r="G80" s="180"/>
      <c r="H80" s="119">
        <f>_xlfn.XLOOKUP(ROW(H80)+1-ROW(H$67),報告用!$AK$44:$AK$87,報告用!$F$44:$F$87,"",FALSE)</f>
        <v>12</v>
      </c>
      <c r="I80" s="123" t="str">
        <f>_xlfn.XLOOKUP(ROW(I80)+1-ROW(I$67),報告用!$AK$44:$AK$87,報告用!$G$44:$G$87,"",FALSE)</f>
        <v>鴨下　恵美子</v>
      </c>
      <c r="J80" s="124" t="str">
        <f t="shared" si="15"/>
        <v>様</v>
      </c>
      <c r="K80" s="120">
        <f>IF(_xlfn.XLOOKUP(ROW(K80)+1-ROW(K$67),報告用!$AK$44:$AK$87,報告用!$E$44:$E$87,"",FALSE)=H80,"",_xlfn.XLOOKUP(ROW(K80)+1-ROW(K$67),報告用!$AK$44:$AK$87,報告用!$E$44:$E$87,"",FALSE))</f>
        <v>11</v>
      </c>
      <c r="L80" s="111"/>
      <c r="M80" s="180"/>
      <c r="N80" s="119">
        <f>_xlfn.XLOOKUP(ROW(N80)+1-ROW(N$67),報告用!$AL$44:$AL$87,報告用!$F$44:$F$87,"",FALSE)</f>
        <v>12</v>
      </c>
      <c r="O80" s="123" t="str">
        <f>_xlfn.XLOOKUP(ROW(O80)+1-ROW(O$67),報告用!$AL$44:$AL$87,報告用!$G$44:$G$87,"",FALSE)</f>
        <v>鴨下　恵美子</v>
      </c>
      <c r="P80" s="124" t="str">
        <f t="shared" si="16"/>
        <v>様</v>
      </c>
      <c r="Q80" s="120">
        <f>IF(_xlfn.XLOOKUP(ROW(Q80)+1-ROW(Q$67),報告用!$AL$44:$AL$87,報告用!$E$44:$E$87,"",FALSE)=N80,"",_xlfn.XLOOKUP(ROW(Q80)+1-ROW(Q$67),報告用!$AL$44:$AL$87,報告用!$E$44:$E$87,"",FALSE))</f>
        <v>11</v>
      </c>
    </row>
    <row r="81" spans="1:17" ht="19.5" customHeight="1" thickBot="1">
      <c r="A81" s="181"/>
      <c r="B81" s="132" t="str">
        <f>_xlfn.XLOOKUP(ROW(B81)+1-ROW(B$79),報告用!$AE$44:$AE$87,報告用!$F$44:$F$87,"",FALSE)</f>
        <v/>
      </c>
      <c r="C81" s="133" t="str">
        <f>_xlfn.XLOOKUP(ROW(C81)+1-ROW(C$79),報告用!$AE$44:$AE$87,報告用!$G$44:$G$87,"",FALSE)</f>
        <v/>
      </c>
      <c r="D81" s="134" t="str">
        <f>IF(C81="","","様")</f>
        <v/>
      </c>
      <c r="E81" s="135" t="str">
        <f>IF(_xlfn.XLOOKUP(ROW(E81)+1-ROW(E$79),報告用!$AE$44:$AE$87,報告用!$E$44:$E$87,"",FALSE)=B81,"",_xlfn.XLOOKUP(ROW(E81)+1-ROW(E$79),報告用!$AE$44:$AE$87,報告用!$E$44:$E$87,"",FALSE))</f>
        <v/>
      </c>
      <c r="F81" s="110"/>
      <c r="G81" s="181"/>
      <c r="H81" s="132">
        <f>_xlfn.XLOOKUP(ROW(H81)+1-ROW(H$67),報告用!$AK$44:$AK$87,報告用!$F$44:$F$87,"",FALSE)</f>
        <v>12</v>
      </c>
      <c r="I81" s="133" t="str">
        <f>_xlfn.XLOOKUP(ROW(I81)+1-ROW(I$67),報告用!$AK$44:$AK$87,報告用!$G$44:$G$87,"",FALSE)</f>
        <v>深水　洋子</v>
      </c>
      <c r="J81" s="134" t="str">
        <f t="shared" si="15"/>
        <v>様</v>
      </c>
      <c r="K81" s="120" t="str">
        <f>IF(_xlfn.XLOOKUP(ROW(K81)+1-ROW(K$67),報告用!$AK$44:$AK$87,報告用!$E$44:$E$87,"",FALSE)=H81,"",_xlfn.XLOOKUP(ROW(K81)+1-ROW(K$67),報告用!$AK$44:$AK$87,報告用!$E$44:$E$87,"",FALSE))</f>
        <v/>
      </c>
      <c r="L81" s="111"/>
      <c r="M81" s="181"/>
      <c r="N81" s="132">
        <f>_xlfn.XLOOKUP(ROW(N81)+1-ROW(N$67),報告用!$AL$44:$AL$87,報告用!$F$44:$F$87,"",FALSE)</f>
        <v>12</v>
      </c>
      <c r="O81" s="133" t="str">
        <f>_xlfn.XLOOKUP(ROW(O81)+1-ROW(O$67),報告用!$AL$44:$AL$87,報告用!$G$44:$G$87,"",FALSE)</f>
        <v>深水　洋子</v>
      </c>
      <c r="P81" s="134" t="str">
        <f t="shared" si="16"/>
        <v>様</v>
      </c>
      <c r="Q81" s="135" t="str">
        <f>IF(_xlfn.XLOOKUP(ROW(Q81)+1-ROW(Q$67),報告用!$AL$44:$AL$87,報告用!$E$44:$E$87,"",FALSE)=N81,"",_xlfn.XLOOKUP(ROW(Q81)+1-ROW(Q$67),報告用!$AL$44:$AL$87,報告用!$E$44:$E$87,"",FALSE))</f>
        <v/>
      </c>
    </row>
    <row r="82" spans="1:17" ht="19.5" customHeight="1">
      <c r="A82" s="110"/>
      <c r="B82" s="110"/>
      <c r="C82" s="110"/>
      <c r="D82" s="110"/>
      <c r="E82" s="110"/>
      <c r="F82" s="110"/>
      <c r="G82" s="192" t="s">
        <v>41</v>
      </c>
      <c r="H82" s="192"/>
      <c r="I82" s="192"/>
      <c r="J82" s="192"/>
      <c r="K82" s="192"/>
      <c r="L82" s="110"/>
      <c r="M82" s="110"/>
      <c r="N82" s="110"/>
      <c r="O82" s="110"/>
      <c r="P82" s="110"/>
      <c r="Q82" s="110"/>
    </row>
    <row r="83" spans="1:17" ht="19.5" customHeight="1" thickBot="1">
      <c r="A83" s="193" t="s">
        <v>50</v>
      </c>
      <c r="B83" s="193"/>
      <c r="C83" s="193"/>
      <c r="D83" s="193"/>
      <c r="E83" s="193"/>
      <c r="F83" s="110"/>
      <c r="G83" s="192"/>
      <c r="H83" s="192"/>
      <c r="I83" s="192"/>
      <c r="J83" s="192"/>
      <c r="K83" s="192"/>
      <c r="L83" s="110"/>
      <c r="M83" s="194">
        <f>報告用!$O$2</f>
        <v>46106</v>
      </c>
      <c r="N83" s="194"/>
      <c r="O83" s="194"/>
      <c r="P83" s="194"/>
      <c r="Q83" s="194"/>
    </row>
    <row r="84" spans="1:17" ht="19.5" customHeight="1">
      <c r="A84" s="186" t="s">
        <v>31</v>
      </c>
      <c r="B84" s="182" t="s">
        <v>38</v>
      </c>
      <c r="C84" s="182"/>
      <c r="D84" s="182"/>
      <c r="E84" s="183"/>
      <c r="F84" s="110"/>
      <c r="G84" s="186" t="s">
        <v>31</v>
      </c>
      <c r="H84" s="182" t="s">
        <v>39</v>
      </c>
      <c r="I84" s="182"/>
      <c r="J84" s="182"/>
      <c r="K84" s="183"/>
      <c r="L84" s="111"/>
      <c r="M84" s="186" t="s">
        <v>31</v>
      </c>
      <c r="N84" s="182" t="s">
        <v>22</v>
      </c>
      <c r="O84" s="182"/>
      <c r="P84" s="182"/>
      <c r="Q84" s="183"/>
    </row>
    <row r="85" spans="1:17" ht="19.5" customHeight="1" thickBot="1">
      <c r="A85" s="187"/>
      <c r="B85" s="112" t="s">
        <v>18</v>
      </c>
      <c r="C85" s="184" t="s">
        <v>17</v>
      </c>
      <c r="D85" s="185"/>
      <c r="E85" s="114" t="s">
        <v>30</v>
      </c>
      <c r="F85" s="110"/>
      <c r="G85" s="187"/>
      <c r="H85" s="112" t="s">
        <v>18</v>
      </c>
      <c r="I85" s="184" t="s">
        <v>17</v>
      </c>
      <c r="J85" s="185"/>
      <c r="K85" s="114" t="s">
        <v>30</v>
      </c>
      <c r="L85" s="111"/>
      <c r="M85" s="187"/>
      <c r="N85" s="112" t="s">
        <v>18</v>
      </c>
      <c r="O85" s="184" t="s">
        <v>17</v>
      </c>
      <c r="P85" s="185"/>
      <c r="Q85" s="114" t="s">
        <v>30</v>
      </c>
    </row>
    <row r="86" spans="1:17" ht="19.5" customHeight="1" thickTop="1">
      <c r="A86" s="201" t="s">
        <v>35</v>
      </c>
      <c r="B86" s="115">
        <f>_xlfn.XLOOKUP(ROW(B86)+1-ROW(B$86),報告用!$AH$44:$AH$87,報告用!$F$44:$F$87,"",FALSE)</f>
        <v>22</v>
      </c>
      <c r="C86" s="121" t="str">
        <f>_xlfn.XLOOKUP(ROW(C86)+1-ROW(C$86),報告用!$AH$44:$AH$87,報告用!$G$44:$G$87,"",FALSE)</f>
        <v>丸山　由美子</v>
      </c>
      <c r="D86" s="122" t="str">
        <f>IF(C86="","","様")</f>
        <v>様</v>
      </c>
      <c r="E86" s="116" t="str">
        <f>IF(_xlfn.XLOOKUP(ROW(E86)+1-ROW(E$86),報告用!$AH$44:$AH$87,報告用!$E$44:$E$87,"",FALSE)=B86,"",_xlfn.XLOOKUP(ROW(E86)+1-ROW(E$86),報告用!$AH$44:$AH$87,報告用!$E$44:$E$87,"",FALSE))</f>
        <v/>
      </c>
      <c r="F86" s="110"/>
      <c r="G86" s="179" t="s">
        <v>35</v>
      </c>
      <c r="H86" s="119">
        <f>_xlfn.XLOOKUP(ROW(H86)+1-ROW(H$86),報告用!$AI$44:$AI$87,報告用!$F$44:$F$87,"",FALSE)</f>
        <v>22</v>
      </c>
      <c r="I86" s="123" t="str">
        <f>_xlfn.XLOOKUP(ROW(I86)+1-ROW(I$86),報告用!$AI$44:$AI$87,報告用!$G$44:$G$87,"",FALSE)</f>
        <v>丸山　由美子</v>
      </c>
      <c r="J86" s="124" t="str">
        <f>IF(I86="","","様")</f>
        <v>様</v>
      </c>
      <c r="K86" s="120" t="str">
        <f>IF(_xlfn.XLOOKUP(ROW(K86)+1-ROW(K$86),報告用!$AI$44:$AI$87,報告用!$E$44:$E$87,"",FALSE)=H86,"",_xlfn.XLOOKUP(ROW(K86)+1-ROW(K$86),報告用!$AI$44:$AI$87,報告用!$E$44:$E$87,"",FALSE))</f>
        <v/>
      </c>
      <c r="L86" s="111"/>
      <c r="M86" s="201" t="s">
        <v>35</v>
      </c>
      <c r="N86" s="115">
        <f>_xlfn.XLOOKUP(ROW(N86)+1-ROW(N$86),報告用!$AJ$44:$AJ$87,報告用!$F$44:$F$87,"",FALSE)</f>
        <v>22</v>
      </c>
      <c r="O86" s="121" t="str">
        <f>_xlfn.XLOOKUP(ROW(O86)+1-ROW(O$86),報告用!$AJ$44:$AJ$87,報告用!$G$44:$G$87,"",FALSE)</f>
        <v>丸山　由美子</v>
      </c>
      <c r="P86" s="122" t="str">
        <f>IF(O86="","","様")</f>
        <v>様</v>
      </c>
      <c r="Q86" s="116" t="str">
        <f>IF(_xlfn.XLOOKUP(ROW(Q86)+1-ROW(Q$86),報告用!$AJ$44:$AJ$87,報告用!$E$44:$E$87,"",FALSE)=N86,"",_xlfn.XLOOKUP(ROW(Q86)-ROW(Q$86),報告用!$AJ$44:$AJ$87,報告用!$E$44:$E$87,"",FALSE))</f>
        <v/>
      </c>
    </row>
    <row r="87" spans="1:17" ht="19.5" customHeight="1">
      <c r="A87" s="180"/>
      <c r="B87" s="119">
        <f>_xlfn.XLOOKUP(ROW(B87)+1-ROW(B$86),報告用!$AH$44:$AH$87,報告用!$F$44:$F$87,"",FALSE)</f>
        <v>23</v>
      </c>
      <c r="C87" s="123" t="str">
        <f>_xlfn.XLOOKUP(ROW(C87)+1-ROW(C$86),報告用!$AH$44:$AH$87,報告用!$G$44:$G$87,"",FALSE)</f>
        <v>森下計二</v>
      </c>
      <c r="D87" s="124" t="str">
        <f t="shared" ref="D87:D93" si="18">IF(C87="","","様")</f>
        <v>様</v>
      </c>
      <c r="E87" s="120" t="str">
        <f>IF(_xlfn.XLOOKUP(ROW(E87)+1-ROW(E$86),報告用!$AH$44:$AH$87,報告用!$E$44:$E$87,"",FALSE)=B87,"",_xlfn.XLOOKUP(ROW(E87)+1-ROW(E$86),報告用!$AH$44:$AH$87,報告用!$E$44:$E$87,"",FALSE))</f>
        <v/>
      </c>
      <c r="F87" s="110"/>
      <c r="G87" s="180"/>
      <c r="H87" s="117">
        <f>_xlfn.XLOOKUP(ROW(H87)+1-ROW(H$86),報告用!$AI$44:$AI$87,報告用!$F$44:$F$87,"",FALSE)</f>
        <v>23</v>
      </c>
      <c r="I87" s="129" t="str">
        <f>_xlfn.XLOOKUP(ROW(I87)+1-ROW(I$86),報告用!$AI$44:$AI$87,報告用!$G$44:$G$87,"",FALSE)</f>
        <v>森下計二</v>
      </c>
      <c r="J87" s="130" t="str">
        <f t="shared" ref="J87:J93" si="19">IF(I87="","","様")</f>
        <v>様</v>
      </c>
      <c r="K87" s="118" t="str">
        <f>IF(_xlfn.XLOOKUP(ROW(K87)+1-ROW(K$86),報告用!$AI$44:$AI$87,報告用!$E$44:$E$87,"",FALSE)=H87,"",_xlfn.XLOOKUP(ROW(K87)+1-ROW(K$86),報告用!$AI$44:$AI$87,報告用!$E$44:$E$87,"",FALSE))</f>
        <v/>
      </c>
      <c r="L87" s="111"/>
      <c r="M87" s="180"/>
      <c r="N87" s="119">
        <f>_xlfn.XLOOKUP(ROW(N87)+1-ROW(N$86),報告用!$AJ$44:$AJ$87,報告用!$F$44:$F$87,"",FALSE)</f>
        <v>23</v>
      </c>
      <c r="O87" s="123" t="str">
        <f>_xlfn.XLOOKUP(ROW(O87)+1-ROW(O$86),報告用!$AJ$44:$AJ$87,報告用!$G$44:$G$87,"",FALSE)</f>
        <v>森下計二</v>
      </c>
      <c r="P87" s="124" t="str">
        <f t="shared" ref="P87:P93" si="20">IF(O87="","","様")</f>
        <v>様</v>
      </c>
      <c r="Q87" s="120" t="str">
        <f>IF(_xlfn.XLOOKUP(ROW(Q87)+1-ROW(Q$86),報告用!$AJ$44:$AJ$87,報告用!$E$44:$E$87,"",FALSE)=N87,"",_xlfn.XLOOKUP(ROW(Q87)-ROW(Q$86),報告用!$AJ$44:$AJ$87,報告用!$E$44:$E$87,"",FALSE))</f>
        <v/>
      </c>
    </row>
    <row r="88" spans="1:17" ht="19.5" customHeight="1">
      <c r="A88" s="180"/>
      <c r="B88" s="119">
        <f>_xlfn.XLOOKUP(ROW(B88)+1-ROW(B$86),報告用!$AH$44:$AH$87,報告用!$F$44:$F$87,"",FALSE)</f>
        <v>25</v>
      </c>
      <c r="C88" s="123" t="str">
        <f>_xlfn.XLOOKUP(ROW(C88)+1-ROW(C$86),報告用!$AH$44:$AH$87,報告用!$G$44:$G$87,"",FALSE)</f>
        <v>鈴木　賢浄</v>
      </c>
      <c r="D88" s="124" t="str">
        <f t="shared" si="18"/>
        <v>様</v>
      </c>
      <c r="E88" s="120" t="str">
        <f>IF(_xlfn.XLOOKUP(ROW(E88)+1-ROW(E$86),報告用!$AH$44:$AH$87,報告用!$E$44:$E$87,"",FALSE)=B88,"",_xlfn.XLOOKUP(ROW(E88)+1-ROW(E$86),報告用!$AH$44:$AH$87,報告用!$E$44:$E$87,"",FALSE))</f>
        <v/>
      </c>
      <c r="F88" s="110"/>
      <c r="G88" s="180"/>
      <c r="H88" s="117">
        <f>_xlfn.XLOOKUP(ROW(H88)+1-ROW(H$86),報告用!$AI$44:$AI$87,報告用!$F$44:$F$87,"",FALSE)</f>
        <v>25</v>
      </c>
      <c r="I88" s="129" t="str">
        <f>_xlfn.XLOOKUP(ROW(I88)+1-ROW(I$86),報告用!$AI$44:$AI$87,報告用!$G$44:$G$87,"",FALSE)</f>
        <v>鈴木　賢浄</v>
      </c>
      <c r="J88" s="130" t="str">
        <f t="shared" si="19"/>
        <v>様</v>
      </c>
      <c r="K88" s="118" t="str">
        <f>IF(_xlfn.XLOOKUP(ROW(K88)+1-ROW(K$86),報告用!$AI$44:$AI$87,報告用!$E$44:$E$87,"",FALSE)=H88,"",_xlfn.XLOOKUP(ROW(K88)+1-ROW(K$86),報告用!$AI$44:$AI$87,報告用!$E$44:$E$87,"",FALSE))</f>
        <v/>
      </c>
      <c r="L88" s="111"/>
      <c r="M88" s="180"/>
      <c r="N88" s="119">
        <f>_xlfn.XLOOKUP(ROW(N88)+1-ROW(N$86),報告用!$AJ$44:$AJ$87,報告用!$F$44:$F$87,"",FALSE)</f>
        <v>25</v>
      </c>
      <c r="O88" s="123" t="str">
        <f>_xlfn.XLOOKUP(ROW(O88)+1-ROW(O$86),報告用!$AJ$44:$AJ$87,報告用!$G$44:$G$87,"",FALSE)</f>
        <v>鈴木　賢浄</v>
      </c>
      <c r="P88" s="124" t="str">
        <f t="shared" si="20"/>
        <v>様</v>
      </c>
      <c r="Q88" s="120" t="str">
        <f>IF(_xlfn.XLOOKUP(ROW(Q88)+1-ROW(Q$86),報告用!$AJ$44:$AJ$87,報告用!$E$44:$E$87,"",FALSE)=N88,"",_xlfn.XLOOKUP(ROW(Q88)-ROW(Q$86),報告用!$AJ$44:$AJ$87,報告用!$E$44:$E$87,"",FALSE))</f>
        <v/>
      </c>
    </row>
    <row r="89" spans="1:17" ht="19.5" customHeight="1">
      <c r="A89" s="180"/>
      <c r="B89" s="119">
        <f>_xlfn.XLOOKUP(ROW(B89)+1-ROW(B$86),報告用!$AH$44:$AH$87,報告用!$F$44:$F$87,"",FALSE)</f>
        <v>1</v>
      </c>
      <c r="C89" s="123" t="str">
        <f>_xlfn.XLOOKUP(ROW(C89)+1-ROW(C$86),報告用!$AH$44:$AH$87,報告用!$G$44:$G$87,"",FALSE)</f>
        <v>笹本　定子</v>
      </c>
      <c r="D89" s="124" t="str">
        <f t="shared" si="18"/>
        <v>様</v>
      </c>
      <c r="E89" s="120" t="str">
        <f>IF(_xlfn.XLOOKUP(ROW(E89)+1-ROW(E$86),報告用!$AH$44:$AH$87,報告用!$E$44:$E$87,"",FALSE)=B89,"",_xlfn.XLOOKUP(ROW(E89)+1-ROW(E$86),報告用!$AH$44:$AH$87,報告用!$E$44:$E$87,"",FALSE))</f>
        <v/>
      </c>
      <c r="F89" s="110"/>
      <c r="G89" s="180"/>
      <c r="H89" s="117">
        <f>_xlfn.XLOOKUP(ROW(H89)+1-ROW(H$86),報告用!$AI$44:$AI$87,報告用!$F$44:$F$87,"",FALSE)</f>
        <v>1</v>
      </c>
      <c r="I89" s="129" t="str">
        <f>_xlfn.XLOOKUP(ROW(I89)+1-ROW(I$86),報告用!$AI$44:$AI$87,報告用!$G$44:$G$87,"",FALSE)</f>
        <v>笹本　定子</v>
      </c>
      <c r="J89" s="130" t="str">
        <f t="shared" si="19"/>
        <v>様</v>
      </c>
      <c r="K89" s="118" t="str">
        <f>IF(_xlfn.XLOOKUP(ROW(K89)+1-ROW(K$86),報告用!$AI$44:$AI$87,報告用!$E$44:$E$87,"",FALSE)=H89,"",_xlfn.XLOOKUP(ROW(K89)+1-ROW(K$86),報告用!$AI$44:$AI$87,報告用!$E$44:$E$87,"",FALSE))</f>
        <v/>
      </c>
      <c r="L89" s="111"/>
      <c r="M89" s="180"/>
      <c r="N89" s="119">
        <f>_xlfn.XLOOKUP(ROW(N89)+1-ROW(N$86),報告用!$AJ$44:$AJ$87,報告用!$F$44:$F$87,"",FALSE)</f>
        <v>1</v>
      </c>
      <c r="O89" s="123" t="str">
        <f>_xlfn.XLOOKUP(ROW(O89)+1-ROW(O$86),報告用!$AJ$44:$AJ$87,報告用!$G$44:$G$87,"",FALSE)</f>
        <v>笹本　定子</v>
      </c>
      <c r="P89" s="124" t="str">
        <f t="shared" si="20"/>
        <v>様</v>
      </c>
      <c r="Q89" s="120" t="str">
        <f>IF(_xlfn.XLOOKUP(ROW(Q89)+1-ROW(Q$86),報告用!$AJ$44:$AJ$87,報告用!$E$44:$E$87,"",FALSE)=N89,"",_xlfn.XLOOKUP(ROW(Q89)-ROW(Q$86),報告用!$AJ$44:$AJ$87,報告用!$E$44:$E$87,"",FALSE))</f>
        <v/>
      </c>
    </row>
    <row r="90" spans="1:17" ht="19.5" customHeight="1">
      <c r="A90" s="180"/>
      <c r="B90" s="119">
        <f>_xlfn.XLOOKUP(ROW(B90)+1-ROW(B$86),報告用!$AH$44:$AH$87,報告用!$F$44:$F$87,"",FALSE)</f>
        <v>3</v>
      </c>
      <c r="C90" s="123" t="str">
        <f>_xlfn.XLOOKUP(ROW(C90)+1-ROW(C$86),報告用!$AH$44:$AH$87,報告用!$G$44:$G$87,"",FALSE)</f>
        <v>コナカザワキクコ</v>
      </c>
      <c r="D90" s="124" t="str">
        <f t="shared" si="18"/>
        <v>様</v>
      </c>
      <c r="E90" s="120">
        <f>IF(_xlfn.XLOOKUP(ROW(E90)+1-ROW(E$86),報告用!$AH$44:$AH$87,報告用!$E$44:$E$87,"",FALSE)=B90,"",_xlfn.XLOOKUP(ROW(E90)+1-ROW(E$86),報告用!$AH$44:$AH$87,報告用!$E$44:$E$87,"",FALSE))</f>
        <v>2</v>
      </c>
      <c r="F90" s="110"/>
      <c r="G90" s="180"/>
      <c r="H90" s="117">
        <f>_xlfn.XLOOKUP(ROW(H90)+1-ROW(H$86),報告用!$AI$44:$AI$87,報告用!$F$44:$F$87,"",FALSE)</f>
        <v>3</v>
      </c>
      <c r="I90" s="129" t="str">
        <f>_xlfn.XLOOKUP(ROW(I90)+1-ROW(I$86),報告用!$AI$44:$AI$87,報告用!$G$44:$G$87,"",FALSE)</f>
        <v>コナカザワキクコ</v>
      </c>
      <c r="J90" s="130" t="str">
        <f t="shared" si="19"/>
        <v>様</v>
      </c>
      <c r="K90" s="118">
        <f>IF(_xlfn.XLOOKUP(ROW(K90)+1-ROW(K$86),報告用!$AI$44:$AI$87,報告用!$E$44:$E$87,"",FALSE)=H90,"",_xlfn.XLOOKUP(ROW(K90)+1-ROW(K$86),報告用!$AI$44:$AI$87,報告用!$E$44:$E$87,"",FALSE))</f>
        <v>2</v>
      </c>
      <c r="L90" s="111"/>
      <c r="M90" s="180"/>
      <c r="N90" s="119">
        <f>_xlfn.XLOOKUP(ROW(N90)+1-ROW(N$86),報告用!$AJ$44:$AJ$87,報告用!$F$44:$F$87,"",FALSE)</f>
        <v>3</v>
      </c>
      <c r="O90" s="123" t="str">
        <f>_xlfn.XLOOKUP(ROW(O90)+1-ROW(O$86),報告用!$AJ$44:$AJ$87,報告用!$G$44:$G$87,"",FALSE)</f>
        <v>コナカザワキクコ</v>
      </c>
      <c r="P90" s="124" t="str">
        <f t="shared" si="20"/>
        <v>様</v>
      </c>
      <c r="Q90" s="120">
        <f>IF(_xlfn.XLOOKUP(ROW(Q90)+1-ROW(Q$86),報告用!$AJ$44:$AJ$87,報告用!$E$44:$E$87,"",FALSE)=N90,"",_xlfn.XLOOKUP(ROW(Q90)-ROW(Q$86),報告用!$AJ$44:$AJ$87,報告用!$E$44:$E$87,"",FALSE))</f>
        <v>1</v>
      </c>
    </row>
    <row r="91" spans="1:17" ht="19.5" customHeight="1">
      <c r="A91" s="180"/>
      <c r="B91" s="119">
        <f>_xlfn.XLOOKUP(ROW(B91)+1-ROW(B$86),報告用!$AH$44:$AH$87,報告用!$F$44:$F$87,"",FALSE)</f>
        <v>5</v>
      </c>
      <c r="C91" s="123" t="str">
        <f>_xlfn.XLOOKUP(ROW(C91)+1-ROW(C$86),報告用!$AH$44:$AH$87,報告用!$G$44:$G$87,"",FALSE)</f>
        <v>高田 保英</v>
      </c>
      <c r="D91" s="124" t="str">
        <f t="shared" si="18"/>
        <v>様</v>
      </c>
      <c r="E91" s="120">
        <f>IF(_xlfn.XLOOKUP(ROW(E91)+1-ROW(E$86),報告用!$AH$44:$AH$87,報告用!$E$44:$E$87,"",FALSE)=B91,"",_xlfn.XLOOKUP(ROW(E91)+1-ROW(E$86),報告用!$AH$44:$AH$87,報告用!$E$44:$E$87,"",FALSE))</f>
        <v>25</v>
      </c>
      <c r="F91" s="110"/>
      <c r="G91" s="180"/>
      <c r="H91" s="117">
        <f>_xlfn.XLOOKUP(ROW(H91)+1-ROW(H$86),報告用!$AI$44:$AI$87,報告用!$F$44:$F$87,"",FALSE)</f>
        <v>5</v>
      </c>
      <c r="I91" s="129" t="str">
        <f>_xlfn.XLOOKUP(ROW(I91)+1-ROW(I$86),報告用!$AI$44:$AI$87,報告用!$G$44:$G$87,"",FALSE)</f>
        <v>高田 保英</v>
      </c>
      <c r="J91" s="130" t="str">
        <f t="shared" si="19"/>
        <v>様</v>
      </c>
      <c r="K91" s="118">
        <f>IF(_xlfn.XLOOKUP(ROW(K91)+1-ROW(K$86),報告用!$AI$44:$AI$87,報告用!$E$44:$E$87,"",FALSE)=H91,"",_xlfn.XLOOKUP(ROW(K91)+1-ROW(K$86),報告用!$AI$44:$AI$87,報告用!$E$44:$E$87,"",FALSE))</f>
        <v>25</v>
      </c>
      <c r="L91" s="111"/>
      <c r="M91" s="180"/>
      <c r="N91" s="119">
        <f>_xlfn.XLOOKUP(ROW(N91)+1-ROW(N$86),報告用!$AJ$44:$AJ$87,報告用!$F$44:$F$87,"",FALSE)</f>
        <v>5</v>
      </c>
      <c r="O91" s="123" t="str">
        <f>_xlfn.XLOOKUP(ROW(O91)+1-ROW(O$86),報告用!$AJ$44:$AJ$87,報告用!$G$44:$G$87,"",FALSE)</f>
        <v>高田 保英</v>
      </c>
      <c r="P91" s="124" t="str">
        <f t="shared" si="20"/>
        <v>様</v>
      </c>
      <c r="Q91" s="120">
        <f>IF(_xlfn.XLOOKUP(ROW(Q91)+1-ROW(Q$86),報告用!$AJ$44:$AJ$87,報告用!$E$44:$E$87,"",FALSE)=N91,"",_xlfn.XLOOKUP(ROW(Q91)-ROW(Q$86),報告用!$AJ$44:$AJ$87,報告用!$E$44:$E$87,"",FALSE))</f>
        <v>2</v>
      </c>
    </row>
    <row r="92" spans="1:17" ht="19.5" customHeight="1">
      <c r="A92" s="180"/>
      <c r="B92" s="119">
        <f>_xlfn.XLOOKUP(ROW(B92)+1-ROW(B$86),報告用!$AH$44:$AH$87,報告用!$F$44:$F$87,"",FALSE)</f>
        <v>8</v>
      </c>
      <c r="C92" s="123" t="str">
        <f>_xlfn.XLOOKUP(ROW(C92)+1-ROW(C$86),報告用!$AH$44:$AH$87,報告用!$G$44:$G$87,"",FALSE)</f>
        <v>望月　昭利(短時間)</v>
      </c>
      <c r="D92" s="124" t="str">
        <f t="shared" si="18"/>
        <v>様</v>
      </c>
      <c r="E92" s="120">
        <f>IF(_xlfn.XLOOKUP(ROW(E92)+1-ROW(E$86),報告用!$AH$44:$AH$87,報告用!$E$44:$E$87,"",FALSE)=B92,"",_xlfn.XLOOKUP(ROW(E92)+1-ROW(E$86),報告用!$AH$44:$AH$87,報告用!$E$44:$E$87,"",FALSE))</f>
        <v>5</v>
      </c>
      <c r="F92" s="110"/>
      <c r="G92" s="180"/>
      <c r="H92" s="117">
        <f>_xlfn.XLOOKUP(ROW(H92)+1-ROW(H$86),報告用!$AI$44:$AI$87,報告用!$F$44:$F$87,"",FALSE)</f>
        <v>8</v>
      </c>
      <c r="I92" s="129" t="str">
        <f>_xlfn.XLOOKUP(ROW(I92)+1-ROW(I$86),報告用!$AI$44:$AI$87,報告用!$G$44:$G$87,"",FALSE)</f>
        <v>望月　昭利(短時間)</v>
      </c>
      <c r="J92" s="130" t="str">
        <f t="shared" si="19"/>
        <v>様</v>
      </c>
      <c r="K92" s="118">
        <f>IF(_xlfn.XLOOKUP(ROW(K92)+1-ROW(K$86),報告用!$AI$44:$AI$87,報告用!$E$44:$E$87,"",FALSE)=H92,"",_xlfn.XLOOKUP(ROW(K92)+1-ROW(K$86),報告用!$AI$44:$AI$87,報告用!$E$44:$E$87,"",FALSE))</f>
        <v>5</v>
      </c>
      <c r="L92" s="111"/>
      <c r="M92" s="180"/>
      <c r="N92" s="119">
        <f>_xlfn.XLOOKUP(ROW(N92)+1-ROW(N$86),報告用!$AJ$44:$AJ$87,報告用!$F$44:$F$87,"",FALSE)</f>
        <v>8</v>
      </c>
      <c r="O92" s="123" t="str">
        <f>_xlfn.XLOOKUP(ROW(O92)+1-ROW(O$86),報告用!$AJ$44:$AJ$87,報告用!$G$44:$G$87,"",FALSE)</f>
        <v>望月　昭利(短時間)</v>
      </c>
      <c r="P92" s="124" t="str">
        <f t="shared" si="20"/>
        <v>様</v>
      </c>
      <c r="Q92" s="120">
        <f>IF(_xlfn.XLOOKUP(ROW(Q92)+1-ROW(Q$86),報告用!$AJ$44:$AJ$87,報告用!$E$44:$E$87,"",FALSE)=N92,"",_xlfn.XLOOKUP(ROW(Q92)-ROW(Q$86),報告用!$AJ$44:$AJ$87,報告用!$E$44:$E$87,"",FALSE))</f>
        <v>25</v>
      </c>
    </row>
    <row r="93" spans="1:17" ht="19.5" customHeight="1" thickBot="1">
      <c r="A93" s="187"/>
      <c r="B93" s="125">
        <f>_xlfn.XLOOKUP(ROW(B93)+1-ROW(B$86),報告用!$AH$44:$AH$87,報告用!$F$44:$F$87,"",FALSE)</f>
        <v>12</v>
      </c>
      <c r="C93" s="126" t="str">
        <f>_xlfn.XLOOKUP(ROW(C93)+1-ROW(C$86),報告用!$AH$44:$AH$87,報告用!$G$44:$G$87,"",FALSE)</f>
        <v>馬塲 日出子</v>
      </c>
      <c r="D93" s="127" t="str">
        <f t="shared" si="18"/>
        <v>様</v>
      </c>
      <c r="E93" s="128" t="str">
        <f>IF(_xlfn.XLOOKUP(ROW(E93)+1-ROW(E$86),報告用!$AH$44:$AH$87,報告用!$E$44:$E$87,"",FALSE)=B93,"",_xlfn.XLOOKUP(ROW(E93)+1-ROW(E$86),報告用!$AH$44:$AH$87,報告用!$E$44:$E$87,"",FALSE))</f>
        <v/>
      </c>
      <c r="F93" s="110"/>
      <c r="G93" s="187"/>
      <c r="H93" s="112" t="str">
        <f>_xlfn.XLOOKUP(ROW(H93)+1-ROW(H$86),報告用!$AI$44:$AI$87,報告用!$F$44:$F$87,"",FALSE)</f>
        <v/>
      </c>
      <c r="I93" s="131" t="str">
        <f>_xlfn.XLOOKUP(ROW(I93)+1-ROW(I$86),報告用!$AI$44:$AI$87,報告用!$G$44:$G$87,"",FALSE)</f>
        <v/>
      </c>
      <c r="J93" s="113" t="str">
        <f t="shared" si="19"/>
        <v/>
      </c>
      <c r="K93" s="114" t="str">
        <f>IF(_xlfn.XLOOKUP(ROW(K93)+1-ROW(K$86),報告用!$AI$44:$AI$87,報告用!$E$44:$E$87,"",FALSE)=H93,"",_xlfn.XLOOKUP(ROW(K93)+1-ROW(K$86),報告用!$AI$44:$AI$87,報告用!$E$44:$E$87,"",FALSE))</f>
        <v/>
      </c>
      <c r="L93" s="111"/>
      <c r="M93" s="187"/>
      <c r="N93" s="125">
        <f>_xlfn.XLOOKUP(ROW(N93)+1-ROW(N$86),報告用!$AJ$44:$AJ$87,報告用!$F$44:$F$87,"",FALSE)</f>
        <v>10</v>
      </c>
      <c r="O93" s="126" t="str">
        <f>_xlfn.XLOOKUP(ROW(O93)+1-ROW(O$86),報告用!$AJ$44:$AJ$87,報告用!$G$44:$G$87,"",FALSE)</f>
        <v>古屋　桂子</v>
      </c>
      <c r="P93" s="127" t="str">
        <f t="shared" si="20"/>
        <v>様</v>
      </c>
      <c r="Q93" s="128">
        <f>IF(_xlfn.XLOOKUP(ROW(Q93)+1-ROW(Q$86),報告用!$AJ$44:$AJ$87,報告用!$E$44:$E$87,"",FALSE)=N93,"",_xlfn.XLOOKUP(ROW(Q93)-ROW(Q$86),報告用!$AJ$44:$AJ$87,報告用!$E$44:$E$87,"",FALSE))</f>
        <v>5</v>
      </c>
    </row>
    <row r="94" spans="1:17" ht="19.5" customHeight="1" thickTop="1">
      <c r="A94" s="179" t="s">
        <v>25</v>
      </c>
      <c r="B94" s="119">
        <f>_xlfn.XLOOKUP(ROW(B94)+1-ROW(B$94),報告用!$AM$44:$AM$87,報告用!$F$44:$F$87,"",FALSE)</f>
        <v>23</v>
      </c>
      <c r="C94" s="123" t="str">
        <f>_xlfn.XLOOKUP(ROW(C94)+1-ROW(C$94),報告用!$AM$44:$AM$87,報告用!$G$44:$G$87,"",FALSE)</f>
        <v>森下計二</v>
      </c>
      <c r="D94" s="124" t="str">
        <f>IF(C94="","","様")</f>
        <v>様</v>
      </c>
      <c r="E94" s="120" t="str">
        <f>IF(_xlfn.XLOOKUP(ROW(E94)+1-ROW(E$94),報告用!$AM$44:$AM$87,報告用!$E$44:$E$87,"",FALSE)=B94,"",_xlfn.XLOOKUP(ROW(E94)+1-ROW(E$94),報告用!$AM$44:$AM$87,報告用!$E$44:$E$87,"",FALSE))</f>
        <v/>
      </c>
      <c r="F94" s="110"/>
      <c r="G94" s="179" t="s">
        <v>25</v>
      </c>
      <c r="H94" s="119">
        <f>_xlfn.XLOOKUP(ROW(H94)+1-ROW(H$94),報告用!$AN$44:$AN$87,報告用!$F$44:$F$87,"",FALSE)</f>
        <v>23</v>
      </c>
      <c r="I94" s="123" t="str">
        <f>_xlfn.XLOOKUP(ROW(I94)+1-ROW(I$94),報告用!$AN$44:$AN$87,報告用!$G$44:$G$87,"",FALSE)</f>
        <v>森下計二</v>
      </c>
      <c r="J94" s="124" t="str">
        <f>IF(I94="","","様")</f>
        <v>様</v>
      </c>
      <c r="K94" s="120" t="str">
        <f>IF(_xlfn.XLOOKUP(ROW(K94)+1-ROW(K$94),報告用!$AN$44:$AN$87,報告用!$E$44:$E$87,"",FALSE)=H94,"",_xlfn.XLOOKUP(ROW(K94)+1-ROW(K$94),報告用!$AN$44:$AN$87,報告用!$E$44:$E$87,"",FALSE))</f>
        <v/>
      </c>
      <c r="L94" s="111"/>
      <c r="M94" s="179" t="s">
        <v>25</v>
      </c>
      <c r="N94" s="119">
        <f>_xlfn.XLOOKUP(ROW(N94)+1-ROW(N$94),報告用!$AO$44:$AO$87,報告用!$F$44:$F$87,"",FALSE)</f>
        <v>23</v>
      </c>
      <c r="O94" s="123" t="str">
        <f>_xlfn.XLOOKUP(ROW(O94)+1-ROW(O$94),報告用!$AO$44:$AO$87,報告用!$G$44:$G$87,"",FALSE)</f>
        <v>森下計二</v>
      </c>
      <c r="P94" s="124" t="str">
        <f>IF(O94="","","様")</f>
        <v>様</v>
      </c>
      <c r="Q94" s="120" t="str">
        <f>IF(_xlfn.XLOOKUP(ROW(Q94)+1-ROW(Q$94),報告用!$AO$44:$AO$87,報告用!$E$44:$E$87,"",FALSE)=N94,"",_xlfn.XLOOKUP(ROW(Q94)+1-ROW(Q$94),報告用!$AO$44:$AO$87,報告用!$E$44:$E$87,"",FALSE))</f>
        <v/>
      </c>
    </row>
    <row r="95" spans="1:17" ht="19.5" customHeight="1">
      <c r="A95" s="180"/>
      <c r="B95" s="119">
        <f>_xlfn.XLOOKUP(ROW(B95)+1-ROW(B$94),報告用!$AM$44:$AM$87,報告用!$F$44:$F$87,"",FALSE)</f>
        <v>23</v>
      </c>
      <c r="C95" s="123" t="str">
        <f>_xlfn.XLOOKUP(ROW(C95)+1-ROW(C$94),報告用!$AM$44:$AM$87,報告用!$G$44:$G$87,"",FALSE)</f>
        <v>遠山　貞一</v>
      </c>
      <c r="D95" s="124" t="str">
        <f t="shared" ref="D95:D108" si="21">IF(C95="","","様")</f>
        <v>様</v>
      </c>
      <c r="E95" s="120" t="str">
        <f>IF(_xlfn.XLOOKUP(ROW(E95)+1-ROW(E$94),報告用!$AM$44:$AM$87,報告用!$E$44:$E$87,"",FALSE)=B95,"",_xlfn.XLOOKUP(ROW(E95)+1-ROW(E$94),報告用!$AM$44:$AM$87,報告用!$E$44:$E$87,"",FALSE))</f>
        <v/>
      </c>
      <c r="F95" s="110"/>
      <c r="G95" s="180"/>
      <c r="H95" s="119">
        <f>_xlfn.XLOOKUP(ROW(H95)+1-ROW(H$94),報告用!$AN$44:$AN$87,報告用!$F$44:$F$87,"",FALSE)</f>
        <v>23</v>
      </c>
      <c r="I95" s="123" t="str">
        <f>_xlfn.XLOOKUP(ROW(I95)+1-ROW(I$94),報告用!$AN$44:$AN$87,報告用!$G$44:$G$87,"",FALSE)</f>
        <v>遠山　貞一</v>
      </c>
      <c r="J95" s="124" t="str">
        <f t="shared" ref="J95:J108" si="22">IF(I95="","","様")</f>
        <v>様</v>
      </c>
      <c r="K95" s="120" t="str">
        <f>IF(_xlfn.XLOOKUP(ROW(K95)+1-ROW(K$94),報告用!$AN$44:$AN$87,報告用!$E$44:$E$87,"",FALSE)=H95,"",_xlfn.XLOOKUP(ROW(K95)+1-ROW(K$94),報告用!$AN$44:$AN$87,報告用!$E$44:$E$87,"",FALSE))</f>
        <v/>
      </c>
      <c r="L95" s="111"/>
      <c r="M95" s="180"/>
      <c r="N95" s="119">
        <f>_xlfn.XLOOKUP(ROW(N95)+1-ROW(N$94),報告用!$AO$44:$AO$87,報告用!$F$44:$F$87,"",FALSE)</f>
        <v>23</v>
      </c>
      <c r="O95" s="123" t="str">
        <f>_xlfn.XLOOKUP(ROW(O95)+1-ROW(O$94),報告用!$AO$44:$AO$87,報告用!$G$44:$G$87,"",FALSE)</f>
        <v>遠山　貞一</v>
      </c>
      <c r="P95" s="124" t="str">
        <f t="shared" ref="P95:P108" si="23">IF(O95="","","様")</f>
        <v>様</v>
      </c>
      <c r="Q95" s="120" t="str">
        <f>IF(_xlfn.XLOOKUP(ROW(Q95)+1-ROW(Q$94),報告用!$AO$44:$AO$87,報告用!$E$44:$E$87,"",FALSE)=N95,"",_xlfn.XLOOKUP(ROW(Q95)+1-ROW(Q$94),報告用!$AO$44:$AO$87,報告用!$E$44:$E$87,"",FALSE))</f>
        <v/>
      </c>
    </row>
    <row r="96" spans="1:17" ht="19.5" customHeight="1">
      <c r="A96" s="180"/>
      <c r="B96" s="119">
        <f>_xlfn.XLOOKUP(ROW(B96)+1-ROW(B$94),報告用!$AM$44:$AM$87,報告用!$F$44:$F$87,"",FALSE)</f>
        <v>25</v>
      </c>
      <c r="C96" s="123" t="str">
        <f>_xlfn.XLOOKUP(ROW(C96)+1-ROW(C$94),報告用!$AM$44:$AM$87,報告用!$G$44:$G$87,"",FALSE)</f>
        <v>千野　周恵</v>
      </c>
      <c r="D96" s="124" t="str">
        <f t="shared" si="21"/>
        <v>様</v>
      </c>
      <c r="E96" s="120" t="str">
        <f>IF(_xlfn.XLOOKUP(ROW(E96)+1-ROW(E$94),報告用!$AM$44:$AM$87,報告用!$E$44:$E$87,"",FALSE)=B96,"",_xlfn.XLOOKUP(ROW(E96)+1-ROW(E$94),報告用!$AM$44:$AM$87,報告用!$E$44:$E$87,"",FALSE))</f>
        <v/>
      </c>
      <c r="F96" s="110"/>
      <c r="G96" s="180"/>
      <c r="H96" s="119">
        <f>_xlfn.XLOOKUP(ROW(H96)+1-ROW(H$94),報告用!$AN$44:$AN$87,報告用!$F$44:$F$87,"",FALSE)</f>
        <v>25</v>
      </c>
      <c r="I96" s="123" t="str">
        <f>_xlfn.XLOOKUP(ROW(I96)+1-ROW(I$94),報告用!$AN$44:$AN$87,報告用!$G$44:$G$87,"",FALSE)</f>
        <v>千野　周恵</v>
      </c>
      <c r="J96" s="124" t="str">
        <f t="shared" si="22"/>
        <v>様</v>
      </c>
      <c r="K96" s="120" t="str">
        <f>IF(_xlfn.XLOOKUP(ROW(K96)+1-ROW(K$94),報告用!$AN$44:$AN$87,報告用!$E$44:$E$87,"",FALSE)=H96,"",_xlfn.XLOOKUP(ROW(K96)+1-ROW(K$94),報告用!$AN$44:$AN$87,報告用!$E$44:$E$87,"",FALSE))</f>
        <v/>
      </c>
      <c r="L96" s="111"/>
      <c r="M96" s="180"/>
      <c r="N96" s="119">
        <f>_xlfn.XLOOKUP(ROW(N96)+1-ROW(N$94),報告用!$AO$44:$AO$87,報告用!$F$44:$F$87,"",FALSE)</f>
        <v>25</v>
      </c>
      <c r="O96" s="123" t="str">
        <f>_xlfn.XLOOKUP(ROW(O96)+1-ROW(O$94),報告用!$AO$44:$AO$87,報告用!$G$44:$G$87,"",FALSE)</f>
        <v>千野　周恵</v>
      </c>
      <c r="P96" s="124" t="str">
        <f t="shared" si="23"/>
        <v>様</v>
      </c>
      <c r="Q96" s="120" t="str">
        <f>IF(_xlfn.XLOOKUP(ROW(Q96)+1-ROW(Q$94),報告用!$AO$44:$AO$87,報告用!$E$44:$E$87,"",FALSE)=N96,"",_xlfn.XLOOKUP(ROW(Q96)+1-ROW(Q$94),報告用!$AO$44:$AO$87,報告用!$E$44:$E$87,"",FALSE))</f>
        <v/>
      </c>
    </row>
    <row r="97" spans="1:17" ht="19.5" customHeight="1">
      <c r="A97" s="180"/>
      <c r="B97" s="119">
        <f>_xlfn.XLOOKUP(ROW(B97)+1-ROW(B$94),報告用!$AM$44:$AM$87,報告用!$F$44:$F$87,"",FALSE)</f>
        <v>25</v>
      </c>
      <c r="C97" s="123" t="str">
        <f>_xlfn.XLOOKUP(ROW(C97)+1-ROW(C$94),報告用!$AM$44:$AM$87,報告用!$G$44:$G$87,"",FALSE)</f>
        <v>鈴木　賢浄</v>
      </c>
      <c r="D97" s="124" t="str">
        <f t="shared" si="21"/>
        <v>様</v>
      </c>
      <c r="E97" s="120" t="str">
        <f>IF(_xlfn.XLOOKUP(ROW(E97)+1-ROW(E$94),報告用!$AM$44:$AM$87,報告用!$E$44:$E$87,"",FALSE)=B97,"",_xlfn.XLOOKUP(ROW(E97)+1-ROW(E$94),報告用!$AM$44:$AM$87,報告用!$E$44:$E$87,"",FALSE))</f>
        <v/>
      </c>
      <c r="F97" s="110"/>
      <c r="G97" s="180"/>
      <c r="H97" s="119">
        <f>_xlfn.XLOOKUP(ROW(H97)+1-ROW(H$94),報告用!$AN$44:$AN$87,報告用!$F$44:$F$87,"",FALSE)</f>
        <v>25</v>
      </c>
      <c r="I97" s="123" t="str">
        <f>_xlfn.XLOOKUP(ROW(I97)+1-ROW(I$94),報告用!$AN$44:$AN$87,報告用!$G$44:$G$87,"",FALSE)</f>
        <v>鈴木　賢浄</v>
      </c>
      <c r="J97" s="124" t="str">
        <f t="shared" si="22"/>
        <v>様</v>
      </c>
      <c r="K97" s="120" t="str">
        <f>IF(_xlfn.XLOOKUP(ROW(K97)+1-ROW(K$94),報告用!$AN$44:$AN$87,報告用!$E$44:$E$87,"",FALSE)=H97,"",_xlfn.XLOOKUP(ROW(K97)+1-ROW(K$94),報告用!$AN$44:$AN$87,報告用!$E$44:$E$87,"",FALSE))</f>
        <v/>
      </c>
      <c r="L97" s="111"/>
      <c r="M97" s="180"/>
      <c r="N97" s="119">
        <f>_xlfn.XLOOKUP(ROW(N97)+1-ROW(N$94),報告用!$AO$44:$AO$87,報告用!$F$44:$F$87,"",FALSE)</f>
        <v>25</v>
      </c>
      <c r="O97" s="123" t="str">
        <f>_xlfn.XLOOKUP(ROW(O97)+1-ROW(O$94),報告用!$AO$44:$AO$87,報告用!$G$44:$G$87,"",FALSE)</f>
        <v>鈴木　賢浄</v>
      </c>
      <c r="P97" s="124" t="str">
        <f t="shared" si="23"/>
        <v>様</v>
      </c>
      <c r="Q97" s="120" t="str">
        <f>IF(_xlfn.XLOOKUP(ROW(Q97)+1-ROW(Q$94),報告用!$AO$44:$AO$87,報告用!$E$44:$E$87,"",FALSE)=N97,"",_xlfn.XLOOKUP(ROW(Q97)+1-ROW(Q$94),報告用!$AO$44:$AO$87,報告用!$E$44:$E$87,"",FALSE))</f>
        <v/>
      </c>
    </row>
    <row r="98" spans="1:17" ht="19.5" customHeight="1">
      <c r="A98" s="180"/>
      <c r="B98" s="119">
        <f>_xlfn.XLOOKUP(ROW(B98)+1-ROW(B$94),報告用!$AM$44:$AM$87,報告用!$F$44:$F$87,"",FALSE)</f>
        <v>25</v>
      </c>
      <c r="C98" s="123" t="str">
        <f>_xlfn.XLOOKUP(ROW(C98)+1-ROW(C$94),報告用!$AM$44:$AM$87,報告用!$G$44:$G$87,"",FALSE)</f>
        <v>渡邉　和洋</v>
      </c>
      <c r="D98" s="124" t="str">
        <f t="shared" si="21"/>
        <v>様</v>
      </c>
      <c r="E98" s="120" t="str">
        <f>IF(_xlfn.XLOOKUP(ROW(E98)+1-ROW(E$94),報告用!$AM$44:$AM$87,報告用!$E$44:$E$87,"",FALSE)=B98,"",_xlfn.XLOOKUP(ROW(E98)+1-ROW(E$94),報告用!$AM$44:$AM$87,報告用!$E$44:$E$87,"",FALSE))</f>
        <v/>
      </c>
      <c r="F98" s="110"/>
      <c r="G98" s="180"/>
      <c r="H98" s="119">
        <f>_xlfn.XLOOKUP(ROW(H98)+1-ROW(H$94),報告用!$AN$44:$AN$87,報告用!$F$44:$F$87,"",FALSE)</f>
        <v>25</v>
      </c>
      <c r="I98" s="123" t="str">
        <f>_xlfn.XLOOKUP(ROW(I98)+1-ROW(I$94),報告用!$AN$44:$AN$87,報告用!$G$44:$G$87,"",FALSE)</f>
        <v>渡邉　和洋</v>
      </c>
      <c r="J98" s="124" t="str">
        <f t="shared" si="22"/>
        <v>様</v>
      </c>
      <c r="K98" s="120" t="str">
        <f>IF(_xlfn.XLOOKUP(ROW(K98)+1-ROW(K$94),報告用!$AN$44:$AN$87,報告用!$E$44:$E$87,"",FALSE)=H98,"",_xlfn.XLOOKUP(ROW(K98)+1-ROW(K$94),報告用!$AN$44:$AN$87,報告用!$E$44:$E$87,"",FALSE))</f>
        <v/>
      </c>
      <c r="L98" s="111"/>
      <c r="M98" s="180"/>
      <c r="N98" s="119">
        <f>_xlfn.XLOOKUP(ROW(N98)+1-ROW(N$94),報告用!$AO$44:$AO$87,報告用!$F$44:$F$87,"",FALSE)</f>
        <v>25</v>
      </c>
      <c r="O98" s="123" t="str">
        <f>_xlfn.XLOOKUP(ROW(O98)+1-ROW(O$94),報告用!$AO$44:$AO$87,報告用!$G$44:$G$87,"",FALSE)</f>
        <v>渡邉　和洋</v>
      </c>
      <c r="P98" s="124" t="str">
        <f t="shared" si="23"/>
        <v>様</v>
      </c>
      <c r="Q98" s="120" t="str">
        <f>IF(_xlfn.XLOOKUP(ROW(Q98)+1-ROW(Q$94),報告用!$AO$44:$AO$87,報告用!$E$44:$E$87,"",FALSE)=N98,"",_xlfn.XLOOKUP(ROW(Q98)+1-ROW(Q$94),報告用!$AO$44:$AO$87,報告用!$E$44:$E$87,"",FALSE))</f>
        <v/>
      </c>
    </row>
    <row r="99" spans="1:17" ht="19.5" customHeight="1">
      <c r="A99" s="180"/>
      <c r="B99" s="119">
        <f>_xlfn.XLOOKUP(ROW(B99)+1-ROW(B$94),報告用!$AM$44:$AM$87,報告用!$F$44:$F$87,"",FALSE)</f>
        <v>25</v>
      </c>
      <c r="C99" s="123" t="str">
        <f>_xlfn.XLOOKUP(ROW(C99)+1-ROW(C$94),報告用!$AM$44:$AM$87,報告用!$G$44:$G$87,"",FALSE)</f>
        <v>内藤　範治</v>
      </c>
      <c r="D99" s="124" t="str">
        <f t="shared" si="21"/>
        <v>様</v>
      </c>
      <c r="E99" s="120">
        <f>IF(_xlfn.XLOOKUP(ROW(E99)+1-ROW(E$94),報告用!$AM$44:$AM$87,報告用!$E$44:$E$87,"",FALSE)=B99,"",_xlfn.XLOOKUP(ROW(E99)+1-ROW(E$94),報告用!$AM$44:$AM$87,報告用!$E$44:$E$87,"",FALSE))</f>
        <v>2</v>
      </c>
      <c r="F99" s="110"/>
      <c r="G99" s="180"/>
      <c r="H99" s="119">
        <f>_xlfn.XLOOKUP(ROW(H99)+1-ROW(H$94),報告用!$AN$44:$AN$87,報告用!$F$44:$F$87,"",FALSE)</f>
        <v>25</v>
      </c>
      <c r="I99" s="123" t="str">
        <f>_xlfn.XLOOKUP(ROW(I99)+1-ROW(I$94),報告用!$AN$44:$AN$87,報告用!$G$44:$G$87,"",FALSE)</f>
        <v>内藤　範治</v>
      </c>
      <c r="J99" s="124" t="str">
        <f t="shared" si="22"/>
        <v>様</v>
      </c>
      <c r="K99" s="120">
        <f>IF(_xlfn.XLOOKUP(ROW(K99)+1-ROW(K$94),報告用!$AN$44:$AN$87,報告用!$E$44:$E$87,"",FALSE)=H99,"",_xlfn.XLOOKUP(ROW(K99)+1-ROW(K$94),報告用!$AN$44:$AN$87,報告用!$E$44:$E$87,"",FALSE))</f>
        <v>2</v>
      </c>
      <c r="L99" s="111"/>
      <c r="M99" s="180"/>
      <c r="N99" s="119">
        <f>_xlfn.XLOOKUP(ROW(N99)+1-ROW(N$94),報告用!$AO$44:$AO$87,報告用!$F$44:$F$87,"",FALSE)</f>
        <v>25</v>
      </c>
      <c r="O99" s="123" t="str">
        <f>_xlfn.XLOOKUP(ROW(O99)+1-ROW(O$94),報告用!$AO$44:$AO$87,報告用!$G$44:$G$87,"",FALSE)</f>
        <v>内藤　範治</v>
      </c>
      <c r="P99" s="124" t="str">
        <f t="shared" si="23"/>
        <v>様</v>
      </c>
      <c r="Q99" s="120">
        <f>IF(_xlfn.XLOOKUP(ROW(Q99)+1-ROW(Q$94),報告用!$AO$44:$AO$87,報告用!$E$44:$E$87,"",FALSE)=N99,"",_xlfn.XLOOKUP(ROW(Q99)+1-ROW(Q$94),報告用!$AO$44:$AO$87,報告用!$E$44:$E$87,"",FALSE))</f>
        <v>2</v>
      </c>
    </row>
    <row r="100" spans="1:17" ht="19.5" customHeight="1">
      <c r="A100" s="180"/>
      <c r="B100" s="119">
        <f>_xlfn.XLOOKUP(ROW(B100)+1-ROW(B$94),報告用!$AM$44:$AM$87,報告用!$F$44:$F$87,"",FALSE)</f>
        <v>1</v>
      </c>
      <c r="C100" s="123" t="str">
        <f>_xlfn.XLOOKUP(ROW(C100)+1-ROW(C$94),報告用!$AM$44:$AM$87,報告用!$G$44:$G$87,"",FALSE)</f>
        <v>笹本　定子</v>
      </c>
      <c r="D100" s="124" t="str">
        <f t="shared" si="21"/>
        <v>様</v>
      </c>
      <c r="E100" s="120" t="str">
        <f>IF(_xlfn.XLOOKUP(ROW(E100)+1-ROW(E$94),報告用!$AM$44:$AM$87,報告用!$E$44:$E$87,"",FALSE)=B100,"",_xlfn.XLOOKUP(ROW(E100)+1-ROW(E$94),報告用!$AM$44:$AM$87,報告用!$E$44:$E$87,"",FALSE))</f>
        <v/>
      </c>
      <c r="F100" s="110"/>
      <c r="G100" s="180"/>
      <c r="H100" s="119">
        <f>_xlfn.XLOOKUP(ROW(H100)+1-ROW(H$94),報告用!$AN$44:$AN$87,報告用!$F$44:$F$87,"",FALSE)</f>
        <v>1</v>
      </c>
      <c r="I100" s="123" t="str">
        <f>_xlfn.XLOOKUP(ROW(I100)+1-ROW(I$94),報告用!$AN$44:$AN$87,報告用!$G$44:$G$87,"",FALSE)</f>
        <v>太田　恵須子</v>
      </c>
      <c r="J100" s="124" t="str">
        <f t="shared" si="22"/>
        <v>様</v>
      </c>
      <c r="K100" s="120" t="str">
        <f>IF(_xlfn.XLOOKUP(ROW(K100)+1-ROW(K$94),報告用!$AN$44:$AN$87,報告用!$E$44:$E$87,"",FALSE)=H100,"",_xlfn.XLOOKUP(ROW(K100)+1-ROW(K$94),報告用!$AN$44:$AN$87,報告用!$E$44:$E$87,"",FALSE))</f>
        <v/>
      </c>
      <c r="L100" s="111"/>
      <c r="M100" s="180"/>
      <c r="N100" s="119">
        <f>_xlfn.XLOOKUP(ROW(N100)+1-ROW(N$94),報告用!$AO$44:$AO$87,報告用!$F$44:$F$87,"",FALSE)</f>
        <v>1</v>
      </c>
      <c r="O100" s="123" t="str">
        <f>_xlfn.XLOOKUP(ROW(O100)+1-ROW(O$94),報告用!$AO$44:$AO$87,報告用!$G$44:$G$87,"",FALSE)</f>
        <v>笹本　定子</v>
      </c>
      <c r="P100" s="124" t="str">
        <f t="shared" si="23"/>
        <v>様</v>
      </c>
      <c r="Q100" s="120" t="str">
        <f>IF(_xlfn.XLOOKUP(ROW(Q100)+1-ROW(Q$94),報告用!$AO$44:$AO$87,報告用!$E$44:$E$87,"",FALSE)=N100,"",_xlfn.XLOOKUP(ROW(Q100)+1-ROW(Q$94),報告用!$AO$44:$AO$87,報告用!$E$44:$E$87,"",FALSE))</f>
        <v/>
      </c>
    </row>
    <row r="101" spans="1:17" ht="19.5" customHeight="1">
      <c r="A101" s="180"/>
      <c r="B101" s="119">
        <f>_xlfn.XLOOKUP(ROW(B101)+1-ROW(B$94),報告用!$AM$44:$AM$87,報告用!$F$44:$F$87,"",FALSE)</f>
        <v>3</v>
      </c>
      <c r="C101" s="123" t="str">
        <f>_xlfn.XLOOKUP(ROW(C101)+1-ROW(C$94),報告用!$AM$44:$AM$87,報告用!$G$44:$G$87,"",FALSE)</f>
        <v>大森　俊子</v>
      </c>
      <c r="D101" s="124" t="str">
        <f t="shared" si="21"/>
        <v>様</v>
      </c>
      <c r="E101" s="120" t="str">
        <f>IF(_xlfn.XLOOKUP(ROW(E101)+1-ROW(E$94),報告用!$AM$44:$AM$87,報告用!$E$44:$E$87,"",FALSE)=B101,"",_xlfn.XLOOKUP(ROW(E101)+1-ROW(E$94),報告用!$AM$44:$AM$87,報告用!$E$44:$E$87,"",FALSE))</f>
        <v/>
      </c>
      <c r="F101" s="110"/>
      <c r="G101" s="180"/>
      <c r="H101" s="119">
        <f>_xlfn.XLOOKUP(ROW(H101)+1-ROW(H$94),報告用!$AN$44:$AN$87,報告用!$F$44:$F$87,"",FALSE)</f>
        <v>1</v>
      </c>
      <c r="I101" s="123" t="str">
        <f>_xlfn.XLOOKUP(ROW(I101)+1-ROW(I$94),報告用!$AN$44:$AN$87,報告用!$G$44:$G$87,"",FALSE)</f>
        <v>笹本　定子</v>
      </c>
      <c r="J101" s="124" t="str">
        <f t="shared" si="22"/>
        <v>様</v>
      </c>
      <c r="K101" s="120" t="str">
        <f>IF(_xlfn.XLOOKUP(ROW(K101)+1-ROW(K$94),報告用!$AN$44:$AN$87,報告用!$E$44:$E$87,"",FALSE)=H101,"",_xlfn.XLOOKUP(ROW(K101)+1-ROW(K$94),報告用!$AN$44:$AN$87,報告用!$E$44:$E$87,"",FALSE))</f>
        <v/>
      </c>
      <c r="L101" s="111"/>
      <c r="M101" s="180"/>
      <c r="N101" s="119">
        <f>_xlfn.XLOOKUP(ROW(N101)+1-ROW(N$94),報告用!$AO$44:$AO$87,報告用!$F$44:$F$87,"",FALSE)</f>
        <v>3</v>
      </c>
      <c r="O101" s="123" t="str">
        <f>_xlfn.XLOOKUP(ROW(O101)+1-ROW(O$94),報告用!$AO$44:$AO$87,報告用!$G$44:$G$87,"",FALSE)</f>
        <v>大森　俊子</v>
      </c>
      <c r="P101" s="124" t="str">
        <f t="shared" si="23"/>
        <v>様</v>
      </c>
      <c r="Q101" s="120" t="str">
        <f>IF(_xlfn.XLOOKUP(ROW(Q101)+1-ROW(Q$94),報告用!$AO$44:$AO$87,報告用!$E$44:$E$87,"",FALSE)=N101,"",_xlfn.XLOOKUP(ROW(Q101)+1-ROW(Q$94),報告用!$AO$44:$AO$87,報告用!$E$44:$E$87,"",FALSE))</f>
        <v/>
      </c>
    </row>
    <row r="102" spans="1:17" ht="19.5" customHeight="1">
      <c r="A102" s="180"/>
      <c r="B102" s="119">
        <f>_xlfn.XLOOKUP(ROW(B102)+1-ROW(B$94),報告用!$AM$44:$AM$87,報告用!$F$44:$F$87,"",FALSE)</f>
        <v>5</v>
      </c>
      <c r="C102" s="123" t="str">
        <f>_xlfn.XLOOKUP(ROW(C102)+1-ROW(C$94),報告用!$AM$44:$AM$87,報告用!$G$44:$G$87,"",FALSE)</f>
        <v>高田 保英</v>
      </c>
      <c r="D102" s="124" t="str">
        <f t="shared" si="21"/>
        <v>様</v>
      </c>
      <c r="E102" s="120">
        <f>IF(_xlfn.XLOOKUP(ROW(E102)+1-ROW(E$94),報告用!$AM$44:$AM$87,報告用!$E$44:$E$87,"",FALSE)=B102,"",_xlfn.XLOOKUP(ROW(E102)+1-ROW(E$94),報告用!$AM$44:$AM$87,報告用!$E$44:$E$87,"",FALSE))</f>
        <v>25</v>
      </c>
      <c r="F102" s="110"/>
      <c r="G102" s="180"/>
      <c r="H102" s="119">
        <f>_xlfn.XLOOKUP(ROW(H102)+1-ROW(H$94),報告用!$AN$44:$AN$87,報告用!$F$44:$F$87,"",FALSE)</f>
        <v>5</v>
      </c>
      <c r="I102" s="123" t="str">
        <f>_xlfn.XLOOKUP(ROW(I102)+1-ROW(I$94),報告用!$AN$44:$AN$87,報告用!$G$44:$G$87,"",FALSE)</f>
        <v>高田 保英</v>
      </c>
      <c r="J102" s="124" t="str">
        <f t="shared" si="22"/>
        <v>様</v>
      </c>
      <c r="K102" s="120">
        <f>IF(_xlfn.XLOOKUP(ROW(K102)+1-ROW(K$94),報告用!$AN$44:$AN$87,報告用!$E$44:$E$87,"",FALSE)=H102,"",_xlfn.XLOOKUP(ROW(K102)+1-ROW(K$94),報告用!$AN$44:$AN$87,報告用!$E$44:$E$87,"",FALSE))</f>
        <v>25</v>
      </c>
      <c r="L102" s="111"/>
      <c r="M102" s="180"/>
      <c r="N102" s="119">
        <f>_xlfn.XLOOKUP(ROW(N102)+1-ROW(N$94),報告用!$AO$44:$AO$87,報告用!$F$44:$F$87,"",FALSE)</f>
        <v>5</v>
      </c>
      <c r="O102" s="123" t="str">
        <f>_xlfn.XLOOKUP(ROW(O102)+1-ROW(O$94),報告用!$AO$44:$AO$87,報告用!$G$44:$G$87,"",FALSE)</f>
        <v>高田 保英</v>
      </c>
      <c r="P102" s="124" t="str">
        <f t="shared" si="23"/>
        <v>様</v>
      </c>
      <c r="Q102" s="120">
        <f>IF(_xlfn.XLOOKUP(ROW(Q102)+1-ROW(Q$94),報告用!$AO$44:$AO$87,報告用!$E$44:$E$87,"",FALSE)=N102,"",_xlfn.XLOOKUP(ROW(Q102)+1-ROW(Q$94),報告用!$AO$44:$AO$87,報告用!$E$44:$E$87,"",FALSE))</f>
        <v>25</v>
      </c>
    </row>
    <row r="103" spans="1:17" ht="19.5" customHeight="1">
      <c r="A103" s="180"/>
      <c r="B103" s="119">
        <f>_xlfn.XLOOKUP(ROW(B103)+1-ROW(B$94),報告用!$AM$44:$AM$87,報告用!$F$44:$F$87,"",FALSE)</f>
        <v>6</v>
      </c>
      <c r="C103" s="123" t="str">
        <f>_xlfn.XLOOKUP(ROW(C103)+1-ROW(C$94),報告用!$AM$44:$AM$87,報告用!$G$44:$G$87,"",FALSE)</f>
        <v>フジイロザスミコ</v>
      </c>
      <c r="D103" s="124" t="str">
        <f t="shared" si="21"/>
        <v>様</v>
      </c>
      <c r="E103" s="120" t="str">
        <f>IF(_xlfn.XLOOKUP(ROW(E103)+1-ROW(E$94),報告用!$AM$44:$AM$87,報告用!$E$44:$E$87,"",FALSE)=B103,"",_xlfn.XLOOKUP(ROW(E103)+1-ROW(E$94),報告用!$AM$44:$AM$87,報告用!$E$44:$E$87,"",FALSE))</f>
        <v/>
      </c>
      <c r="F103" s="110"/>
      <c r="G103" s="180"/>
      <c r="H103" s="119">
        <f>_xlfn.XLOOKUP(ROW(H103)+1-ROW(H$94),報告用!$AN$44:$AN$87,報告用!$F$44:$F$87,"",FALSE)</f>
        <v>6</v>
      </c>
      <c r="I103" s="123" t="str">
        <f>_xlfn.XLOOKUP(ROW(I103)+1-ROW(I$94),報告用!$AN$44:$AN$87,報告用!$G$44:$G$87,"",FALSE)</f>
        <v>フジイロザスミコ</v>
      </c>
      <c r="J103" s="124" t="str">
        <f t="shared" si="22"/>
        <v>様</v>
      </c>
      <c r="K103" s="120" t="str">
        <f>IF(_xlfn.XLOOKUP(ROW(K103)+1-ROW(K$94),報告用!$AN$44:$AN$87,報告用!$E$44:$E$87,"",FALSE)=H103,"",_xlfn.XLOOKUP(ROW(K103)+1-ROW(K$94),報告用!$AN$44:$AN$87,報告用!$E$44:$E$87,"",FALSE))</f>
        <v/>
      </c>
      <c r="L103" s="111"/>
      <c r="M103" s="180"/>
      <c r="N103" s="119">
        <f>_xlfn.XLOOKUP(ROW(N103)+1-ROW(N$94),報告用!$AO$44:$AO$87,報告用!$F$44:$F$87,"",FALSE)</f>
        <v>6</v>
      </c>
      <c r="O103" s="123" t="str">
        <f>_xlfn.XLOOKUP(ROW(O103)+1-ROW(O$94),報告用!$AO$44:$AO$87,報告用!$G$44:$G$87,"",FALSE)</f>
        <v>フジイロザスミコ</v>
      </c>
      <c r="P103" s="124" t="str">
        <f t="shared" si="23"/>
        <v>様</v>
      </c>
      <c r="Q103" s="120" t="str">
        <f>IF(_xlfn.XLOOKUP(ROW(Q103)+1-ROW(Q$94),報告用!$AO$44:$AO$87,報告用!$E$44:$E$87,"",FALSE)=N103,"",_xlfn.XLOOKUP(ROW(Q103)+1-ROW(Q$94),報告用!$AO$44:$AO$87,報告用!$E$44:$E$87,"",FALSE))</f>
        <v/>
      </c>
    </row>
    <row r="104" spans="1:17" ht="19.5" customHeight="1">
      <c r="A104" s="180"/>
      <c r="B104" s="119">
        <f>_xlfn.XLOOKUP(ROW(B104)+1-ROW(B$94),報告用!$AM$44:$AM$87,報告用!$F$44:$F$87,"",FALSE)</f>
        <v>6</v>
      </c>
      <c r="C104" s="123" t="str">
        <f>_xlfn.XLOOKUP(ROW(C104)+1-ROW(C$94),報告用!$AM$44:$AM$87,報告用!$G$44:$G$87,"",FALSE)</f>
        <v>一瀨　好恵</v>
      </c>
      <c r="D104" s="124" t="str">
        <f t="shared" si="21"/>
        <v>様</v>
      </c>
      <c r="E104" s="120">
        <f>IF(_xlfn.XLOOKUP(ROW(E104)+1-ROW(E$94),報告用!$AM$44:$AM$87,報告用!$E$44:$E$87,"",FALSE)=B104,"",_xlfn.XLOOKUP(ROW(E104)+1-ROW(E$94),報告用!$AM$44:$AM$87,報告用!$E$44:$E$87,"",FALSE))</f>
        <v>5</v>
      </c>
      <c r="F104" s="110"/>
      <c r="G104" s="180"/>
      <c r="H104" s="119">
        <f>_xlfn.XLOOKUP(ROW(H104)+1-ROW(H$94),報告用!$AN$44:$AN$87,報告用!$F$44:$F$87,"",FALSE)</f>
        <v>6</v>
      </c>
      <c r="I104" s="123" t="str">
        <f>_xlfn.XLOOKUP(ROW(I104)+1-ROW(I$94),報告用!$AN$44:$AN$87,報告用!$G$44:$G$87,"",FALSE)</f>
        <v>一瀨　好恵</v>
      </c>
      <c r="J104" s="124" t="str">
        <f t="shared" si="22"/>
        <v>様</v>
      </c>
      <c r="K104" s="120">
        <f>IF(_xlfn.XLOOKUP(ROW(K104)+1-ROW(K$94),報告用!$AN$44:$AN$87,報告用!$E$44:$E$87,"",FALSE)=H104,"",_xlfn.XLOOKUP(ROW(K104)+1-ROW(K$94),報告用!$AN$44:$AN$87,報告用!$E$44:$E$87,"",FALSE))</f>
        <v>5</v>
      </c>
      <c r="L104" s="111"/>
      <c r="M104" s="180"/>
      <c r="N104" s="119">
        <f>_xlfn.XLOOKUP(ROW(N104)+1-ROW(N$94),報告用!$AO$44:$AO$87,報告用!$F$44:$F$87,"",FALSE)</f>
        <v>6</v>
      </c>
      <c r="O104" s="123" t="str">
        <f>_xlfn.XLOOKUP(ROW(O104)+1-ROW(O$94),報告用!$AO$44:$AO$87,報告用!$G$44:$G$87,"",FALSE)</f>
        <v>一瀨　好恵</v>
      </c>
      <c r="P104" s="124" t="str">
        <f t="shared" si="23"/>
        <v>様</v>
      </c>
      <c r="Q104" s="120">
        <f>IF(_xlfn.XLOOKUP(ROW(Q104)+1-ROW(Q$94),報告用!$AO$44:$AO$87,報告用!$E$44:$E$87,"",FALSE)=N104,"",_xlfn.XLOOKUP(ROW(Q104)+1-ROW(Q$94),報告用!$AO$44:$AO$87,報告用!$E$44:$E$87,"",FALSE))</f>
        <v>5</v>
      </c>
    </row>
    <row r="105" spans="1:17" ht="19.5" customHeight="1">
      <c r="A105" s="180"/>
      <c r="B105" s="119">
        <f>_xlfn.XLOOKUP(ROW(B105)+1-ROW(B$94),報告用!$AM$44:$AM$87,報告用!$F$44:$F$87,"",FALSE)</f>
        <v>7</v>
      </c>
      <c r="C105" s="123" t="str">
        <f>_xlfn.XLOOKUP(ROW(C105)+1-ROW(C$94),報告用!$AM$44:$AM$87,報告用!$G$44:$G$87,"",FALSE)</f>
        <v>佐藤　光正</v>
      </c>
      <c r="D105" s="124" t="str">
        <f t="shared" si="21"/>
        <v>様</v>
      </c>
      <c r="E105" s="120" t="str">
        <f>IF(_xlfn.XLOOKUP(ROW(E105)+1-ROW(E$94),報告用!$AM$44:$AM$87,報告用!$E$44:$E$87,"",FALSE)=B105,"",_xlfn.XLOOKUP(ROW(E105)+1-ROW(E$94),報告用!$AM$44:$AM$87,報告用!$E$44:$E$87,"",FALSE))</f>
        <v/>
      </c>
      <c r="F105" s="110"/>
      <c r="G105" s="180"/>
      <c r="H105" s="119">
        <f>_xlfn.XLOOKUP(ROW(H105)+1-ROW(H$94),報告用!$AN$44:$AN$87,報告用!$F$44:$F$87,"",FALSE)</f>
        <v>7</v>
      </c>
      <c r="I105" s="123" t="str">
        <f>_xlfn.XLOOKUP(ROW(I105)+1-ROW(I$94),報告用!$AN$44:$AN$87,報告用!$G$44:$G$87,"",FALSE)</f>
        <v>佐藤　光正</v>
      </c>
      <c r="J105" s="124" t="str">
        <f t="shared" si="22"/>
        <v>様</v>
      </c>
      <c r="K105" s="120" t="str">
        <f>IF(_xlfn.XLOOKUP(ROW(K105)+1-ROW(K$94),報告用!$AN$44:$AN$87,報告用!$E$44:$E$87,"",FALSE)=H105,"",_xlfn.XLOOKUP(ROW(K105)+1-ROW(K$94),報告用!$AN$44:$AN$87,報告用!$E$44:$E$87,"",FALSE))</f>
        <v/>
      </c>
      <c r="L105" s="111"/>
      <c r="M105" s="180"/>
      <c r="N105" s="119">
        <f>_xlfn.XLOOKUP(ROW(N105)+1-ROW(N$94),報告用!$AO$44:$AO$87,報告用!$F$44:$F$87,"",FALSE)</f>
        <v>7</v>
      </c>
      <c r="O105" s="123" t="str">
        <f>_xlfn.XLOOKUP(ROW(O105)+1-ROW(O$94),報告用!$AO$44:$AO$87,報告用!$G$44:$G$87,"",FALSE)</f>
        <v>佐藤　光正</v>
      </c>
      <c r="P105" s="124" t="str">
        <f t="shared" si="23"/>
        <v>様</v>
      </c>
      <c r="Q105" s="120" t="str">
        <f>IF(_xlfn.XLOOKUP(ROW(Q105)+1-ROW(Q$94),報告用!$AO$44:$AO$87,報告用!$E$44:$E$87,"",FALSE)=N105,"",_xlfn.XLOOKUP(ROW(Q105)+1-ROW(Q$94),報告用!$AO$44:$AO$87,報告用!$E$44:$E$87,"",FALSE))</f>
        <v/>
      </c>
    </row>
    <row r="106" spans="1:17" ht="19.5" customHeight="1">
      <c r="A106" s="180"/>
      <c r="B106" s="119">
        <f>_xlfn.XLOOKUP(ROW(B106)+1-ROW(B$94),報告用!$AM$44:$AM$87,報告用!$F$44:$F$87,"",FALSE)</f>
        <v>7</v>
      </c>
      <c r="C106" s="123" t="str">
        <f>_xlfn.XLOOKUP(ROW(C106)+1-ROW(C$94),報告用!$AM$44:$AM$87,報告用!$G$44:$G$87,"",FALSE)</f>
        <v>水上　哲彌</v>
      </c>
      <c r="D106" s="124" t="str">
        <f t="shared" si="21"/>
        <v>様</v>
      </c>
      <c r="E106" s="120" t="str">
        <f>IF(_xlfn.XLOOKUP(ROW(E106)+1-ROW(E$94),報告用!$AM$44:$AM$87,報告用!$E$44:$E$87,"",FALSE)=B106,"",_xlfn.XLOOKUP(ROW(E106)+1-ROW(E$94),報告用!$AM$44:$AM$87,報告用!$E$44:$E$87,"",FALSE))</f>
        <v/>
      </c>
      <c r="F106" s="110"/>
      <c r="G106" s="180"/>
      <c r="H106" s="119">
        <f>_xlfn.XLOOKUP(ROW(H106)+1-ROW(H$94),報告用!$AN$44:$AN$87,報告用!$F$44:$F$87,"",FALSE)</f>
        <v>7</v>
      </c>
      <c r="I106" s="123" t="str">
        <f>_xlfn.XLOOKUP(ROW(I106)+1-ROW(I$94),報告用!$AN$44:$AN$87,報告用!$G$44:$G$87,"",FALSE)</f>
        <v>水上　哲彌</v>
      </c>
      <c r="J106" s="124" t="str">
        <f t="shared" si="22"/>
        <v>様</v>
      </c>
      <c r="K106" s="120" t="str">
        <f>IF(_xlfn.XLOOKUP(ROW(K106)+1-ROW(K$94),報告用!$AN$44:$AN$87,報告用!$E$44:$E$87,"",FALSE)=H106,"",_xlfn.XLOOKUP(ROW(K106)+1-ROW(K$94),報告用!$AN$44:$AN$87,報告用!$E$44:$E$87,"",FALSE))</f>
        <v/>
      </c>
      <c r="L106" s="111"/>
      <c r="M106" s="180"/>
      <c r="N106" s="119">
        <f>_xlfn.XLOOKUP(ROW(N106)+1-ROW(N$94),報告用!$AO$44:$AO$87,報告用!$F$44:$F$87,"",FALSE)</f>
        <v>7</v>
      </c>
      <c r="O106" s="123" t="str">
        <f>_xlfn.XLOOKUP(ROW(O106)+1-ROW(O$94),報告用!$AO$44:$AO$87,報告用!$G$44:$G$87,"",FALSE)</f>
        <v>水上　哲彌</v>
      </c>
      <c r="P106" s="124" t="str">
        <f t="shared" si="23"/>
        <v>様</v>
      </c>
      <c r="Q106" s="120" t="str">
        <f>IF(_xlfn.XLOOKUP(ROW(Q106)+1-ROW(Q$94),報告用!$AO$44:$AO$87,報告用!$E$44:$E$87,"",FALSE)=N106,"",_xlfn.XLOOKUP(ROW(Q106)+1-ROW(Q$94),報告用!$AO$44:$AO$87,報告用!$E$44:$E$87,"",FALSE))</f>
        <v/>
      </c>
    </row>
    <row r="107" spans="1:17" ht="19.5" customHeight="1">
      <c r="A107" s="180"/>
      <c r="B107" s="119">
        <f>_xlfn.XLOOKUP(ROW(B107)+1-ROW(B$94),報告用!$AM$44:$AM$87,報告用!$F$44:$F$87,"",FALSE)</f>
        <v>12</v>
      </c>
      <c r="C107" s="123" t="str">
        <f>_xlfn.XLOOKUP(ROW(C107)+1-ROW(C$94),報告用!$AM$44:$AM$87,報告用!$G$44:$G$87,"",FALSE)</f>
        <v>鴨下　恵美子</v>
      </c>
      <c r="D107" s="124" t="str">
        <f t="shared" si="21"/>
        <v>様</v>
      </c>
      <c r="E107" s="120">
        <f>IF(_xlfn.XLOOKUP(ROW(E107)+1-ROW(E$94),報告用!$AM$44:$AM$87,報告用!$E$44:$E$87,"",FALSE)=B107,"",_xlfn.XLOOKUP(ROW(E107)+1-ROW(E$94),報告用!$AM$44:$AM$87,報告用!$E$44:$E$87,"",FALSE))</f>
        <v>11</v>
      </c>
      <c r="F107" s="110"/>
      <c r="G107" s="180"/>
      <c r="H107" s="119">
        <f>_xlfn.XLOOKUP(ROW(H107)+1-ROW(H$94),報告用!$AN$44:$AN$87,報告用!$F$44:$F$87,"",FALSE)</f>
        <v>12</v>
      </c>
      <c r="I107" s="123" t="str">
        <f>_xlfn.XLOOKUP(ROW(I107)+1-ROW(I$94),報告用!$AN$44:$AN$87,報告用!$G$44:$G$87,"",FALSE)</f>
        <v>鴨下　恵美子</v>
      </c>
      <c r="J107" s="124" t="str">
        <f t="shared" si="22"/>
        <v>様</v>
      </c>
      <c r="K107" s="120">
        <f>IF(_xlfn.XLOOKUP(ROW(K107)+1-ROW(K$94),報告用!$AN$44:$AN$87,報告用!$E$44:$E$87,"",FALSE)=H107,"",_xlfn.XLOOKUP(ROW(K107)+1-ROW(K$94),報告用!$AN$44:$AN$87,報告用!$E$44:$E$87,"",FALSE))</f>
        <v>11</v>
      </c>
      <c r="L107" s="111"/>
      <c r="M107" s="180"/>
      <c r="N107" s="119">
        <f>_xlfn.XLOOKUP(ROW(N107)+1-ROW(N$94),報告用!$AO$44:$AO$87,報告用!$F$44:$F$87,"",FALSE)</f>
        <v>12</v>
      </c>
      <c r="O107" s="123" t="str">
        <f>_xlfn.XLOOKUP(ROW(O107)+1-ROW(O$94),報告用!$AO$44:$AO$87,報告用!$G$44:$G$87,"",FALSE)</f>
        <v>鴨下　恵美子</v>
      </c>
      <c r="P107" s="124" t="str">
        <f t="shared" si="23"/>
        <v>様</v>
      </c>
      <c r="Q107" s="120">
        <f>IF(_xlfn.XLOOKUP(ROW(Q107)+1-ROW(Q$94),報告用!$AO$44:$AO$87,報告用!$E$44:$E$87,"",FALSE)=N107,"",_xlfn.XLOOKUP(ROW(Q107)+1-ROW(Q$94),報告用!$AO$44:$AO$87,報告用!$E$44:$E$87,"",FALSE))</f>
        <v>11</v>
      </c>
    </row>
    <row r="108" spans="1:17" ht="19.5" customHeight="1" thickBot="1">
      <c r="A108" s="181"/>
      <c r="B108" s="132">
        <f>_xlfn.XLOOKUP(ROW(B108)+1-ROW(B$94),報告用!$AM$44:$AM$87,報告用!$F$44:$F$87,"",FALSE)</f>
        <v>12</v>
      </c>
      <c r="C108" s="133" t="str">
        <f>_xlfn.XLOOKUP(ROW(C108)+1-ROW(C$94),報告用!$AM$44:$AM$87,報告用!$G$44:$G$87,"",FALSE)</f>
        <v>深水　洋子</v>
      </c>
      <c r="D108" s="134" t="str">
        <f t="shared" si="21"/>
        <v>様</v>
      </c>
      <c r="E108" s="135" t="str">
        <f>IF(_xlfn.XLOOKUP(ROW(E108)+1-ROW(E$94),報告用!$AM$44:$AM$87,報告用!$E$44:$E$87,"",FALSE)=B108,"",_xlfn.XLOOKUP(ROW(E108)+1-ROW(E$94),報告用!$AM$44:$AM$87,報告用!$E$44:$E$87,"",FALSE))</f>
        <v/>
      </c>
      <c r="F108" s="110"/>
      <c r="G108" s="181"/>
      <c r="H108" s="132">
        <f>_xlfn.XLOOKUP(ROW(H108)+1-ROW(H$94),報告用!$AN$44:$AN$87,報告用!$F$44:$F$87,"",FALSE)</f>
        <v>12</v>
      </c>
      <c r="I108" s="133" t="str">
        <f>_xlfn.XLOOKUP(ROW(I108)+1-ROW(I$94),報告用!$AN$44:$AN$87,報告用!$G$44:$G$87,"",FALSE)</f>
        <v>深水　洋子</v>
      </c>
      <c r="J108" s="134" t="str">
        <f t="shared" si="22"/>
        <v>様</v>
      </c>
      <c r="K108" s="135" t="str">
        <f>IF(_xlfn.XLOOKUP(ROW(K108)+1-ROW(K$94),報告用!$AN$44:$AN$87,報告用!$E$44:$E$87,"",FALSE)=H108,"",_xlfn.XLOOKUP(ROW(K108)+1-ROW(K$94),報告用!$AN$44:$AN$87,報告用!$E$44:$E$87,"",FALSE))</f>
        <v/>
      </c>
      <c r="L108" s="111"/>
      <c r="M108" s="181"/>
      <c r="N108" s="132">
        <f>_xlfn.XLOOKUP(ROW(N108)+1-ROW(N$94),報告用!$AO$44:$AO$87,報告用!$F$44:$F$87,"",FALSE)</f>
        <v>12</v>
      </c>
      <c r="O108" s="133" t="str">
        <f>_xlfn.XLOOKUP(ROW(O108)+1-ROW(O$94),報告用!$AO$44:$AO$87,報告用!$G$44:$G$87,"",FALSE)</f>
        <v>深水　洋子</v>
      </c>
      <c r="P108" s="134" t="str">
        <f t="shared" si="23"/>
        <v>様</v>
      </c>
      <c r="Q108" s="135" t="str">
        <f>IF(_xlfn.XLOOKUP(ROW(Q108)+1-ROW(Q$94),報告用!$AO$44:$AO$87,報告用!$E$44:$E$87,"",FALSE)=N108,"",_xlfn.XLOOKUP(ROW(Q108)+1-ROW(Q$94),報告用!$AO$44:$AO$87,報告用!$E$44:$E$87,"",FALSE))</f>
        <v/>
      </c>
    </row>
  </sheetData>
  <mergeCells count="74">
    <mergeCell ref="G1:K2"/>
    <mergeCell ref="A2:E2"/>
    <mergeCell ref="M2:Q2"/>
    <mergeCell ref="A3:A4"/>
    <mergeCell ref="B3:E3"/>
    <mergeCell ref="G3:G4"/>
    <mergeCell ref="H3:K3"/>
    <mergeCell ref="M3:M4"/>
    <mergeCell ref="N3:Q3"/>
    <mergeCell ref="C4:D4"/>
    <mergeCell ref="I4:J4"/>
    <mergeCell ref="O4:P4"/>
    <mergeCell ref="A5:A16"/>
    <mergeCell ref="G5:G12"/>
    <mergeCell ref="M5:M12"/>
    <mergeCell ref="G13:G27"/>
    <mergeCell ref="M13:M27"/>
    <mergeCell ref="A17:A24"/>
    <mergeCell ref="A25:A27"/>
    <mergeCell ref="G28:K29"/>
    <mergeCell ref="A29:E29"/>
    <mergeCell ref="M29:Q29"/>
    <mergeCell ref="A30:A31"/>
    <mergeCell ref="B30:E30"/>
    <mergeCell ref="G30:G31"/>
    <mergeCell ref="H30:K30"/>
    <mergeCell ref="M30:M31"/>
    <mergeCell ref="N30:Q30"/>
    <mergeCell ref="C31:D31"/>
    <mergeCell ref="I31:J31"/>
    <mergeCell ref="O31:P31"/>
    <mergeCell ref="G32:G39"/>
    <mergeCell ref="M32:M39"/>
    <mergeCell ref="G55:K56"/>
    <mergeCell ref="A56:E56"/>
    <mergeCell ref="M56:Q56"/>
    <mergeCell ref="A40:A54"/>
    <mergeCell ref="G40:G54"/>
    <mergeCell ref="M40:M54"/>
    <mergeCell ref="A32:A39"/>
    <mergeCell ref="N57:Q57"/>
    <mergeCell ref="C58:D58"/>
    <mergeCell ref="I58:J58"/>
    <mergeCell ref="O58:P58"/>
    <mergeCell ref="A59:A70"/>
    <mergeCell ref="G59:G66"/>
    <mergeCell ref="M59:M66"/>
    <mergeCell ref="G67:G81"/>
    <mergeCell ref="M67:M81"/>
    <mergeCell ref="A71:A78"/>
    <mergeCell ref="A79:A81"/>
    <mergeCell ref="A57:A58"/>
    <mergeCell ref="B57:E57"/>
    <mergeCell ref="G57:G58"/>
    <mergeCell ref="H57:K57"/>
    <mergeCell ref="M57:M58"/>
    <mergeCell ref="G82:K83"/>
    <mergeCell ref="A83:E83"/>
    <mergeCell ref="M83:Q83"/>
    <mergeCell ref="A84:A85"/>
    <mergeCell ref="B84:E84"/>
    <mergeCell ref="G84:G85"/>
    <mergeCell ref="H84:K84"/>
    <mergeCell ref="M84:M85"/>
    <mergeCell ref="N84:Q84"/>
    <mergeCell ref="C85:D85"/>
    <mergeCell ref="I85:J85"/>
    <mergeCell ref="O85:P85"/>
    <mergeCell ref="G86:G93"/>
    <mergeCell ref="M86:M93"/>
    <mergeCell ref="A94:A108"/>
    <mergeCell ref="G94:G108"/>
    <mergeCell ref="M94:M108"/>
    <mergeCell ref="A86:A93"/>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D699-63F7-4562-BA4E-84B46E5AC6AC}">
  <sheetPr>
    <pageSetUpPr fitToPage="1"/>
  </sheetPr>
  <dimension ref="A1:AC54"/>
  <sheetViews>
    <sheetView topLeftCell="A33" workbookViewId="0">
      <selection activeCell="H24" sqref="H24"/>
    </sheetView>
  </sheetViews>
  <sheetFormatPr defaultRowHeight="27" customHeight="1"/>
  <cols>
    <col min="1" max="2" width="5.625" style="76" customWidth="1"/>
    <col min="3" max="3" width="18.625" style="76" customWidth="1"/>
    <col min="4" max="4" width="5.625" style="76" customWidth="1"/>
    <col min="5" max="5" width="1.625" style="76" customWidth="1"/>
    <col min="6" max="7" width="5.625" style="76" customWidth="1"/>
    <col min="8" max="8" width="18.625" style="76" customWidth="1"/>
    <col min="9" max="9" width="5.625" style="76" customWidth="1"/>
    <col min="10" max="10" width="1.625" style="76" customWidth="1"/>
    <col min="11" max="12" width="5.625" style="76" customWidth="1"/>
    <col min="13" max="13" width="18.625" style="76" customWidth="1"/>
    <col min="14" max="14" width="5.625" style="76" customWidth="1"/>
    <col min="15" max="15" width="1.625" style="1" customWidth="1"/>
    <col min="16" max="17" width="5.625" style="76" customWidth="1"/>
    <col min="18" max="18" width="18.625" style="76" customWidth="1"/>
    <col min="19" max="19" width="5.625" style="76" customWidth="1"/>
    <col min="20" max="20" width="1.625" style="76" customWidth="1"/>
    <col min="21" max="22" width="5.625" style="76" customWidth="1"/>
    <col min="23" max="23" width="18.625" style="76" customWidth="1"/>
    <col min="24" max="24" width="5.625" style="76" customWidth="1"/>
    <col min="25" max="25" width="1.625" style="76" customWidth="1"/>
    <col min="26" max="27" width="5.625" style="76" customWidth="1"/>
    <col min="28" max="28" width="18.625" style="76" customWidth="1"/>
    <col min="29" max="29" width="5.625" style="76" customWidth="1"/>
    <col min="30" max="16384" width="9" style="1"/>
  </cols>
  <sheetData>
    <row r="1" spans="1:29" ht="32.1" customHeight="1">
      <c r="A1" s="110"/>
      <c r="B1" s="110"/>
      <c r="C1" s="110"/>
      <c r="D1" s="110"/>
      <c r="E1" s="110"/>
      <c r="F1" s="233" t="s">
        <v>40</v>
      </c>
      <c r="G1" s="233"/>
      <c r="H1" s="233"/>
      <c r="I1" s="233"/>
      <c r="J1" s="233"/>
      <c r="K1" s="233"/>
      <c r="L1" s="233"/>
      <c r="M1" s="233"/>
      <c r="N1" s="233"/>
      <c r="O1" s="233"/>
      <c r="P1" s="233"/>
      <c r="Q1" s="233"/>
      <c r="R1" s="233"/>
      <c r="S1" s="233"/>
      <c r="T1" s="233"/>
      <c r="U1" s="233"/>
      <c r="V1" s="233"/>
      <c r="W1" s="233"/>
      <c r="X1" s="233"/>
      <c r="Y1" s="110"/>
      <c r="Z1" s="110"/>
      <c r="AA1" s="110"/>
      <c r="AB1" s="110"/>
      <c r="AC1" s="110"/>
    </row>
    <row r="2" spans="1:29" ht="32.1" customHeight="1" thickBot="1">
      <c r="A2" s="227" t="s">
        <v>50</v>
      </c>
      <c r="B2" s="227"/>
      <c r="C2" s="227"/>
      <c r="D2" s="227"/>
      <c r="E2" s="110"/>
      <c r="F2" s="233"/>
      <c r="G2" s="233"/>
      <c r="H2" s="233"/>
      <c r="I2" s="233"/>
      <c r="J2" s="233"/>
      <c r="K2" s="233"/>
      <c r="L2" s="233"/>
      <c r="M2" s="233"/>
      <c r="N2" s="233"/>
      <c r="O2" s="233"/>
      <c r="P2" s="233"/>
      <c r="Q2" s="233"/>
      <c r="R2" s="233"/>
      <c r="S2" s="233"/>
      <c r="T2" s="233"/>
      <c r="U2" s="233"/>
      <c r="V2" s="233"/>
      <c r="W2" s="233"/>
      <c r="X2" s="233"/>
      <c r="Y2" s="110"/>
      <c r="Z2" s="228">
        <f>報告用!$O$2</f>
        <v>46106</v>
      </c>
      <c r="AA2" s="228"/>
      <c r="AB2" s="228"/>
      <c r="AC2" s="228"/>
    </row>
    <row r="3" spans="1:29" ht="32.1" customHeight="1">
      <c r="A3" s="229" t="s">
        <v>29</v>
      </c>
      <c r="B3" s="231" t="s">
        <v>36</v>
      </c>
      <c r="C3" s="231"/>
      <c r="D3" s="232"/>
      <c r="F3" s="229" t="s">
        <v>31</v>
      </c>
      <c r="G3" s="231" t="s">
        <v>9</v>
      </c>
      <c r="H3" s="231"/>
      <c r="I3" s="232"/>
      <c r="J3" s="77"/>
      <c r="K3" s="229" t="s">
        <v>31</v>
      </c>
      <c r="L3" s="231" t="s">
        <v>10</v>
      </c>
      <c r="M3" s="231"/>
      <c r="N3" s="232"/>
      <c r="P3" s="229" t="s">
        <v>31</v>
      </c>
      <c r="Q3" s="231" t="s">
        <v>38</v>
      </c>
      <c r="R3" s="231"/>
      <c r="S3" s="232"/>
      <c r="U3" s="229" t="s">
        <v>31</v>
      </c>
      <c r="V3" s="231" t="s">
        <v>39</v>
      </c>
      <c r="W3" s="231"/>
      <c r="X3" s="232"/>
      <c r="Y3" s="77"/>
      <c r="Z3" s="229" t="s">
        <v>31</v>
      </c>
      <c r="AA3" s="231" t="s">
        <v>22</v>
      </c>
      <c r="AB3" s="231"/>
      <c r="AC3" s="232"/>
    </row>
    <row r="4" spans="1:29" ht="32.1" customHeight="1" thickBot="1">
      <c r="A4" s="230"/>
      <c r="B4" s="88" t="s">
        <v>18</v>
      </c>
      <c r="C4" s="148" t="s">
        <v>17</v>
      </c>
      <c r="D4" s="91" t="s">
        <v>30</v>
      </c>
      <c r="F4" s="230"/>
      <c r="G4" s="88" t="s">
        <v>18</v>
      </c>
      <c r="H4" s="148" t="s">
        <v>17</v>
      </c>
      <c r="I4" s="91" t="s">
        <v>30</v>
      </c>
      <c r="J4" s="77"/>
      <c r="K4" s="230"/>
      <c r="L4" s="88" t="s">
        <v>18</v>
      </c>
      <c r="M4" s="148" t="s">
        <v>17</v>
      </c>
      <c r="N4" s="91" t="s">
        <v>30</v>
      </c>
      <c r="P4" s="230"/>
      <c r="Q4" s="88" t="s">
        <v>18</v>
      </c>
      <c r="R4" s="148" t="s">
        <v>17</v>
      </c>
      <c r="S4" s="91" t="s">
        <v>30</v>
      </c>
      <c r="U4" s="230"/>
      <c r="V4" s="88" t="s">
        <v>18</v>
      </c>
      <c r="W4" s="148" t="s">
        <v>17</v>
      </c>
      <c r="X4" s="91" t="s">
        <v>30</v>
      </c>
      <c r="Y4" s="77"/>
      <c r="Z4" s="230"/>
      <c r="AA4" s="88" t="s">
        <v>18</v>
      </c>
      <c r="AB4" s="148" t="s">
        <v>17</v>
      </c>
      <c r="AC4" s="91" t="s">
        <v>30</v>
      </c>
    </row>
    <row r="5" spans="1:29" ht="32.1" customHeight="1" thickTop="1">
      <c r="A5" s="234" t="s">
        <v>32</v>
      </c>
      <c r="B5" s="80">
        <f>_xlfn.XLOOKUP(ROW(B5)+1-ROW(B$5),報告用!$AC$4:$AC$37,報告用!F$4:F$37,"",FALSE)</f>
        <v>18</v>
      </c>
      <c r="C5" s="149" t="str">
        <f>_xlfn.XLOOKUP(ROW(C5)+1-ROW(C$5),報告用!$AC$4:$AC$37,報告用!G$4:G$37,"",FALSE)</f>
        <v>吉井　用子</v>
      </c>
      <c r="D5" s="83" t="str">
        <f>IF(_xlfn.XLOOKUP(ROW(D5)+1-ROW(D$5),報告用!$AC$4:$AC$37,報告用!E$4:E$37,"",FALSE)=B5,"",_xlfn.XLOOKUP(ROW(D5)+1-ROW(D$5),報告用!$AC$4:$AC$37,報告用!E$4:E$37,"",FALSE))</f>
        <v/>
      </c>
      <c r="F5" s="236" t="s">
        <v>35</v>
      </c>
      <c r="G5" s="80">
        <f>_xlfn.XLOOKUP(ROW(G5)+1-ROW(G$5),報告用!$AF$4:$AF$37,報告用!$F$4:$F$37,"",FALSE)</f>
        <v>15</v>
      </c>
      <c r="H5" s="149" t="str">
        <f>_xlfn.XLOOKUP(ROW(H5)+1-ROW(H$5),報告用!$AF$4:$AF$37,報告用!$G$4:$G$37,"",FALSE)</f>
        <v>志村とも子</v>
      </c>
      <c r="I5" s="83" t="str">
        <f>IF(_xlfn.XLOOKUP(ROW(I5)+1-ROW(I$5),報告用!$AF$4:$AF$37,報告用!$E$4:$E$37,"",FALSE)=G5,"",_xlfn.XLOOKUP(ROW(I5)+1-ROW(I$5),報告用!$AF$4:$AF$37,報告用!$E$4:$E$37,"",FALSE))</f>
        <v/>
      </c>
      <c r="J5" s="77"/>
      <c r="K5" s="236" t="s">
        <v>35</v>
      </c>
      <c r="L5" s="80">
        <f>_xlfn.XLOOKUP(ROW(L5)+1-ROW(L$5),報告用!$AG$4:$AG$37,報告用!$F$4:$F$37,"",FALSE)</f>
        <v>15</v>
      </c>
      <c r="M5" s="149" t="str">
        <f>_xlfn.XLOOKUP(ROW(M5)+1-ROW(M$5),報告用!$AG$4:$AG$37,報告用!$G$4:$G$37,"",FALSE)</f>
        <v>志村とも子</v>
      </c>
      <c r="N5" s="83" t="str">
        <f>IF(_xlfn.XLOOKUP(ROW(N5)+1-ROW(N$5),報告用!$AG$4:$AG$37,報告用!$E$4:$E$37,"",FALSE)=L5,"",_xlfn.XLOOKUP(ROW(N5)+1-ROW(N$5),報告用!$AG$4:$AG$37,報告用!$E$4:$E$37,"",FALSE))</f>
        <v/>
      </c>
      <c r="P5" s="236" t="s">
        <v>35</v>
      </c>
      <c r="Q5" s="80">
        <f>_xlfn.XLOOKUP(ROW(Q5)+1-ROW(Q$5),報告用!$AH$4:$AH$37,報告用!$F$4:$F$37,"",FALSE)</f>
        <v>15</v>
      </c>
      <c r="R5" s="149" t="str">
        <f>_xlfn.XLOOKUP(ROW(R5)+1-ROW(R$5),報告用!$AH$4:$AH$37,報告用!$G$4:$G$37,"",FALSE)</f>
        <v>志村とも子</v>
      </c>
      <c r="S5" s="83" t="str">
        <f>IF(_xlfn.XLOOKUP(ROW(S5)+1-ROW(S$5),報告用!$AH$4:$AH$37,報告用!$E$4:$E$37,"",FALSE)=Q5,"",_xlfn.XLOOKUP(ROW(S5)+1-ROW(S$5),報告用!$AH$4:$AH$37,報告用!$E$4:$E$37,"",FALSE))</f>
        <v/>
      </c>
      <c r="U5" s="236" t="s">
        <v>35</v>
      </c>
      <c r="V5" s="80">
        <f>_xlfn.XLOOKUP(ROW(V5)+1-ROW(V$5),報告用!$AI$4:$AI$37,報告用!$F$4:$F$37,"",FALSE)</f>
        <v>15</v>
      </c>
      <c r="W5" s="149" t="str">
        <f>_xlfn.XLOOKUP(ROW(W5)+1-ROW(W$5),報告用!$AI$4:$AI$37,報告用!$G$4:$G$37,"",FALSE)</f>
        <v>志村とも子</v>
      </c>
      <c r="X5" s="83" t="str">
        <f>IF(_xlfn.XLOOKUP(ROW(X5)+1-ROW(X$5),報告用!$AI$4:$AI$37,報告用!$E$4:$E$37,"",FALSE)=V5,"",_xlfn.XLOOKUP(ROW(X5)+1-ROW(X$5),報告用!$AI$4:$AI$37,報告用!$E$4:$E$37,"",FALSE))</f>
        <v/>
      </c>
      <c r="Y5" s="77"/>
      <c r="Z5" s="236" t="s">
        <v>35</v>
      </c>
      <c r="AA5" s="80">
        <f>_xlfn.XLOOKUP(ROW(AA5)+1-ROW(AA$5),報告用!$AJ$4:$AJ$37,報告用!$F$4:$F$37,"",FALSE)</f>
        <v>15</v>
      </c>
      <c r="AB5" s="149" t="str">
        <f>_xlfn.XLOOKUP(ROW(AB5)+1-ROW(AB$5),報告用!$AJ$4:$AJ$37,報告用!$G$4:$G$37,"",FALSE)</f>
        <v>志村とも子</v>
      </c>
      <c r="AC5" s="83" t="str">
        <f>IF(_xlfn.XLOOKUP(ROW(AC5)+1-ROW(AC$5),報告用!$AJ$4:$AJ$37,報告用!$E$4:$E$37,"",FALSE)=AA5,"",_xlfn.XLOOKUP(ROW(AC5)+1-ROW(AC$5),報告用!$AJ$4:$AJ$37,報告用!$E$4:$E$37,"",FALSE))</f>
        <v/>
      </c>
    </row>
    <row r="6" spans="1:29" ht="32.1" customHeight="1">
      <c r="A6" s="235"/>
      <c r="B6" s="84">
        <f>_xlfn.XLOOKUP(ROW(B6)+1-ROW(B$5),報告用!$AC$4:$AC$37,報告用!F$4:F$37,"",FALSE)</f>
        <v>20</v>
      </c>
      <c r="C6" s="150" t="str">
        <f>_xlfn.XLOOKUP(ROW(C6)+1-ROW(C$5),報告用!$AC$4:$AC$37,報告用!G$4:G$37,"",FALSE)</f>
        <v>★上條　礼子</v>
      </c>
      <c r="D6" s="87" t="str">
        <f>IF(_xlfn.XLOOKUP(ROW(D6)+1-ROW(D$5),報告用!$AC$4:$AC$37,報告用!E$4:E$37,"",FALSE)=B6,"",_xlfn.XLOOKUP(ROW(D6)+1-ROW(D$5),報告用!$AC$4:$AC$37,報告用!E$4:E$37,"",FALSE))</f>
        <v/>
      </c>
      <c r="F6" s="237"/>
      <c r="G6" s="92">
        <f>_xlfn.XLOOKUP(ROW(G6)+1-ROW(G$5),報告用!$AF$4:$AF$37,報告用!$F$4:$F$37,"",FALSE)</f>
        <v>15</v>
      </c>
      <c r="H6" s="151" t="str">
        <f>_xlfn.XLOOKUP(ROW(H6)+1-ROW(H$5),報告用!$AF$4:$AF$37,報告用!$G$4:$G$37,"",FALSE)</f>
        <v>飯室　純江</v>
      </c>
      <c r="I6" s="95" t="str">
        <f>IF(_xlfn.XLOOKUP(ROW(I6)+1-ROW(I$5),報告用!$AF$4:$AF$37,報告用!$E$4:$E$37,"",FALSE)=G6,"",_xlfn.XLOOKUP(ROW(I6)+1-ROW(I$5),報告用!$AF$4:$AF$37,報告用!$E$4:$E$37,"",FALSE))</f>
        <v/>
      </c>
      <c r="J6" s="77"/>
      <c r="K6" s="237"/>
      <c r="L6" s="92">
        <f>_xlfn.XLOOKUP(ROW(L6)+1-ROW(L$5),報告用!$AG$4:$AG$37,報告用!$F$4:$F$37,"",FALSE)</f>
        <v>15</v>
      </c>
      <c r="M6" s="151" t="str">
        <f>_xlfn.XLOOKUP(ROW(M6)+1-ROW(M$5),報告用!$AG$4:$AG$37,報告用!$G$4:$G$37,"",FALSE)</f>
        <v>望月　美希</v>
      </c>
      <c r="N6" s="95" t="str">
        <f>IF(_xlfn.XLOOKUP(ROW(N6)+1-ROW(N$5),報告用!$AG$4:$AG$37,報告用!$E$4:$E$37,"",FALSE)=L6,"",_xlfn.XLOOKUP(ROW(N6)+1-ROW(N$5),報告用!$AG$4:$AG$37,報告用!$E$4:$E$37,"",FALSE))</f>
        <v/>
      </c>
      <c r="P6" s="237"/>
      <c r="Q6" s="84">
        <f>_xlfn.XLOOKUP(ROW(Q6)+1-ROW(Q$5),報告用!$AH$4:$AH$37,報告用!$F$4:$F$37,"",FALSE)</f>
        <v>15</v>
      </c>
      <c r="R6" s="150" t="str">
        <f>_xlfn.XLOOKUP(ROW(R6)+1-ROW(R$5),報告用!$AH$4:$AH$37,報告用!$G$4:$G$37,"",FALSE)</f>
        <v>飯室　純江</v>
      </c>
      <c r="S6" s="87" t="str">
        <f>IF(_xlfn.XLOOKUP(ROW(S6)+1-ROW(S$5),報告用!$AH$4:$AH$37,報告用!$E$4:$E$37,"",FALSE)=Q6,"",_xlfn.XLOOKUP(ROW(S6)+1-ROW(S$5),報告用!$AH$4:$AH$37,報告用!$E$4:$E$37,"",FALSE))</f>
        <v/>
      </c>
      <c r="U6" s="237"/>
      <c r="V6" s="84">
        <f>_xlfn.XLOOKUP(ROW(V6)+1-ROW(V$5),報告用!$AI$4:$AI$37,報告用!$F$4:$F$37,"",FALSE)</f>
        <v>15</v>
      </c>
      <c r="W6" s="150" t="str">
        <f>_xlfn.XLOOKUP(ROW(W6)+1-ROW(W$5),報告用!$AI$4:$AI$37,報告用!$G$4:$G$37,"",FALSE)</f>
        <v>望月　美希</v>
      </c>
      <c r="X6" s="87" t="str">
        <f>IF(_xlfn.XLOOKUP(ROW(X6)+1-ROW(X$5),報告用!$AI$4:$AI$37,報告用!$E$4:$E$37,"",FALSE)=V6,"",_xlfn.XLOOKUP(ROW(X6)+1-ROW(X$5),報告用!$AI$4:$AI$37,報告用!$E$4:$E$37,"",FALSE))</f>
        <v/>
      </c>
      <c r="Y6" s="77"/>
      <c r="Z6" s="237"/>
      <c r="AA6" s="92">
        <f>_xlfn.XLOOKUP(ROW(AA6)+1-ROW(AA$5),報告用!$AJ$4:$AJ$37,報告用!$F$4:$F$37,"",FALSE)</f>
        <v>16</v>
      </c>
      <c r="AB6" s="151" t="str">
        <f>_xlfn.XLOOKUP(ROW(AB6)+1-ROW(AB$5),報告用!$AJ$4:$AJ$37,報告用!$G$4:$G$37,"",FALSE)</f>
        <v>里吉　松子</v>
      </c>
      <c r="AC6" s="95" t="str">
        <f>IF(_xlfn.XLOOKUP(ROW(AC6)+1-ROW(AC$5),報告用!$AJ$4:$AJ$37,報告用!$E$4:$E$37,"",FALSE)=AA6,"",_xlfn.XLOOKUP(ROW(AC6)+1-ROW(AC$5),報告用!$AJ$4:$AJ$37,報告用!$E$4:$E$37,"",FALSE))</f>
        <v/>
      </c>
    </row>
    <row r="7" spans="1:29" ht="32.1" customHeight="1">
      <c r="A7" s="235"/>
      <c r="B7" s="84" t="str">
        <f>_xlfn.XLOOKUP(ROW(B7)+1-ROW(B$5),報告用!$AC$4:$AC$37,報告用!F$4:F$37,"",FALSE)</f>
        <v/>
      </c>
      <c r="C7" s="150" t="str">
        <f>_xlfn.XLOOKUP(ROW(C7)+1-ROW(C$5),報告用!$AC$4:$AC$37,報告用!G$4:G$37,"",FALSE)</f>
        <v/>
      </c>
      <c r="D7" s="87" t="str">
        <f>IF(_xlfn.XLOOKUP(ROW(D7)+1-ROW(D$5),報告用!$AC$4:$AC$37,報告用!E$4:E$37,"",FALSE)=B7,"",_xlfn.XLOOKUP(ROW(D7)+1-ROW(D$5),報告用!$AC$4:$AC$37,報告用!E$4:E$37,"",FALSE))</f>
        <v/>
      </c>
      <c r="F7" s="237"/>
      <c r="G7" s="92">
        <f>_xlfn.XLOOKUP(ROW(G7)+1-ROW(G$5),報告用!$AF$4:$AF$37,報告用!$F$4:$F$37,"",FALSE)</f>
        <v>16</v>
      </c>
      <c r="H7" s="151" t="str">
        <f>_xlfn.XLOOKUP(ROW(H7)+1-ROW(H$5),報告用!$AF$4:$AF$37,報告用!$G$4:$G$37,"",FALSE)</f>
        <v>里吉　松子</v>
      </c>
      <c r="I7" s="95" t="str">
        <f>IF(_xlfn.XLOOKUP(ROW(I7)+1-ROW(I$5),報告用!$AF$4:$AF$37,報告用!$E$4:$E$37,"",FALSE)=G7,"",_xlfn.XLOOKUP(ROW(I7)+1-ROW(I$5),報告用!$AF$4:$AF$37,報告用!$E$4:$E$37,"",FALSE))</f>
        <v/>
      </c>
      <c r="J7" s="77"/>
      <c r="K7" s="237"/>
      <c r="L7" s="92">
        <f>_xlfn.XLOOKUP(ROW(L7)+1-ROW(L$5),報告用!$AG$4:$AG$37,報告用!$F$4:$F$37,"",FALSE)</f>
        <v>16</v>
      </c>
      <c r="M7" s="151" t="str">
        <f>_xlfn.XLOOKUP(ROW(M7)+1-ROW(M$5),報告用!$AG$4:$AG$37,報告用!$G$4:$G$37,"",FALSE)</f>
        <v>里吉　松子</v>
      </c>
      <c r="N7" s="95" t="str">
        <f>IF(_xlfn.XLOOKUP(ROW(N7)+1-ROW(N$5),報告用!$AG$4:$AG$37,報告用!$E$4:$E$37,"",FALSE)=L7,"",_xlfn.XLOOKUP(ROW(N7)+1-ROW(N$5),報告用!$AG$4:$AG$37,報告用!$E$4:$E$37,"",FALSE))</f>
        <v/>
      </c>
      <c r="P7" s="237"/>
      <c r="Q7" s="84">
        <f>_xlfn.XLOOKUP(ROW(Q7)+1-ROW(Q$5),報告用!$AH$4:$AH$37,報告用!$F$4:$F$37,"",FALSE)</f>
        <v>16</v>
      </c>
      <c r="R7" s="150" t="str">
        <f>_xlfn.XLOOKUP(ROW(R7)+1-ROW(R$5),報告用!$AH$4:$AH$37,報告用!$G$4:$G$37,"",FALSE)</f>
        <v>里吉　松子</v>
      </c>
      <c r="S7" s="87" t="str">
        <f>IF(_xlfn.XLOOKUP(ROW(S7)+1-ROW(S$5),報告用!$AH$4:$AH$37,報告用!$E$4:$E$37,"",FALSE)=Q7,"",_xlfn.XLOOKUP(ROW(S7)+1-ROW(S$5),報告用!$AH$4:$AH$37,報告用!$E$4:$E$37,"",FALSE))</f>
        <v/>
      </c>
      <c r="U7" s="237"/>
      <c r="V7" s="84">
        <f>_xlfn.XLOOKUP(ROW(V7)+1-ROW(V$5),報告用!$AI$4:$AI$37,報告用!$F$4:$F$37,"",FALSE)</f>
        <v>16</v>
      </c>
      <c r="W7" s="150" t="str">
        <f>_xlfn.XLOOKUP(ROW(W7)+1-ROW(W$5),報告用!$AI$4:$AI$37,報告用!$G$4:$G$37,"",FALSE)</f>
        <v>里吉　松子</v>
      </c>
      <c r="X7" s="87" t="str">
        <f>IF(_xlfn.XLOOKUP(ROW(X7)+1-ROW(X$5),報告用!$AI$4:$AI$37,報告用!$E$4:$E$37,"",FALSE)=V7,"",_xlfn.XLOOKUP(ROW(X7)+1-ROW(X$5),報告用!$AI$4:$AI$37,報告用!$E$4:$E$37,"",FALSE))</f>
        <v/>
      </c>
      <c r="Y7" s="77"/>
      <c r="Z7" s="237"/>
      <c r="AA7" s="92">
        <f>_xlfn.XLOOKUP(ROW(AA7)+1-ROW(AA$5),報告用!$AJ$4:$AJ$37,報告用!$F$4:$F$37,"",FALSE)</f>
        <v>16</v>
      </c>
      <c r="AB7" s="151" t="str">
        <f>_xlfn.XLOOKUP(ROW(AB7)+1-ROW(AB$5),報告用!$AJ$4:$AJ$37,報告用!$G$4:$G$37,"",FALSE)</f>
        <v>森　たい子</v>
      </c>
      <c r="AC7" s="95" t="str">
        <f>IF(_xlfn.XLOOKUP(ROW(AC7)+1-ROW(AC$5),報告用!$AJ$4:$AJ$37,報告用!$E$4:$E$37,"",FALSE)=AA7,"",_xlfn.XLOOKUP(ROW(AC7)+1-ROW(AC$5),報告用!$AJ$4:$AJ$37,報告用!$E$4:$E$37,"",FALSE))</f>
        <v/>
      </c>
    </row>
    <row r="8" spans="1:29" ht="32.1" customHeight="1">
      <c r="A8" s="235"/>
      <c r="B8" s="84" t="str">
        <f>_xlfn.XLOOKUP(ROW(B8)+1-ROW(B$5),報告用!$AC$4:$AC$37,報告用!F$4:F$37,"",FALSE)</f>
        <v/>
      </c>
      <c r="C8" s="150" t="str">
        <f>_xlfn.XLOOKUP(ROW(C8)+1-ROW(C$5),報告用!$AC$4:$AC$37,報告用!G$4:G$37,"",FALSE)</f>
        <v/>
      </c>
      <c r="D8" s="87" t="str">
        <f>IF(_xlfn.XLOOKUP(ROW(D8)+1-ROW(D$5),報告用!$AC$4:$AC$37,報告用!E$4:E$37,"",FALSE)=B8,"",_xlfn.XLOOKUP(ROW(D8)+1-ROW(D$5),報告用!$AC$4:$AC$37,報告用!E$4:E$37,"",FALSE))</f>
        <v/>
      </c>
      <c r="F8" s="237"/>
      <c r="G8" s="92">
        <f>_xlfn.XLOOKUP(ROW(G8)+1-ROW(G$5),報告用!$AF$4:$AF$37,報告用!$F$4:$F$37,"",FALSE)</f>
        <v>16</v>
      </c>
      <c r="H8" s="151" t="str">
        <f>_xlfn.XLOOKUP(ROW(H8)+1-ROW(H$5),報告用!$AF$4:$AF$37,報告用!$G$4:$G$37,"",FALSE)</f>
        <v>森　たい子</v>
      </c>
      <c r="I8" s="95" t="str">
        <f>IF(_xlfn.XLOOKUP(ROW(I8)+1-ROW(I$5),報告用!$AF$4:$AF$37,報告用!$E$4:$E$37,"",FALSE)=G8,"",_xlfn.XLOOKUP(ROW(I8)+1-ROW(I$5),報告用!$AF$4:$AF$37,報告用!$E$4:$E$37,"",FALSE))</f>
        <v/>
      </c>
      <c r="J8" s="77"/>
      <c r="K8" s="237"/>
      <c r="L8" s="92">
        <f>_xlfn.XLOOKUP(ROW(L8)+1-ROW(L$5),報告用!$AG$4:$AG$37,報告用!$F$4:$F$37,"",FALSE)</f>
        <v>16</v>
      </c>
      <c r="M8" s="151" t="str">
        <f>_xlfn.XLOOKUP(ROW(M8)+1-ROW(M$5),報告用!$AG$4:$AG$37,報告用!$G$4:$G$37,"",FALSE)</f>
        <v>森　たい子</v>
      </c>
      <c r="N8" s="95" t="str">
        <f>IF(_xlfn.XLOOKUP(ROW(N8)+1-ROW(N$5),報告用!$AG$4:$AG$37,報告用!$E$4:$E$37,"",FALSE)=L8,"",_xlfn.XLOOKUP(ROW(N8)+1-ROW(N$5),報告用!$AG$4:$AG$37,報告用!$E$4:$E$37,"",FALSE))</f>
        <v/>
      </c>
      <c r="P8" s="237"/>
      <c r="Q8" s="84">
        <f>_xlfn.XLOOKUP(ROW(Q8)+1-ROW(Q$5),報告用!$AH$4:$AH$37,報告用!$F$4:$F$37,"",FALSE)</f>
        <v>16</v>
      </c>
      <c r="R8" s="150" t="str">
        <f>_xlfn.XLOOKUP(ROW(R8)+1-ROW(R$5),報告用!$AH$4:$AH$37,報告用!$G$4:$G$37,"",FALSE)</f>
        <v>森　たい子</v>
      </c>
      <c r="S8" s="87" t="str">
        <f>IF(_xlfn.XLOOKUP(ROW(S8)+1-ROW(S$5),報告用!$AH$4:$AH$37,報告用!$E$4:$E$37,"",FALSE)=Q8,"",_xlfn.XLOOKUP(ROW(S8)+1-ROW(S$5),報告用!$AH$4:$AH$37,報告用!$E$4:$E$37,"",FALSE))</f>
        <v/>
      </c>
      <c r="U8" s="237"/>
      <c r="V8" s="84">
        <f>_xlfn.XLOOKUP(ROW(V8)+1-ROW(V$5),報告用!$AI$4:$AI$37,報告用!$F$4:$F$37,"",FALSE)</f>
        <v>16</v>
      </c>
      <c r="W8" s="150" t="str">
        <f>_xlfn.XLOOKUP(ROW(W8)+1-ROW(W$5),報告用!$AI$4:$AI$37,報告用!$G$4:$G$37,"",FALSE)</f>
        <v>森　たい子</v>
      </c>
      <c r="X8" s="87" t="str">
        <f>IF(_xlfn.XLOOKUP(ROW(X8)+1-ROW(X$5),報告用!$AI$4:$AI$37,報告用!$E$4:$E$37,"",FALSE)=V8,"",_xlfn.XLOOKUP(ROW(X8)+1-ROW(X$5),報告用!$AI$4:$AI$37,報告用!$E$4:$E$37,"",FALSE))</f>
        <v/>
      </c>
      <c r="Y8" s="77"/>
      <c r="Z8" s="237"/>
      <c r="AA8" s="92">
        <f>_xlfn.XLOOKUP(ROW(AA8)+1-ROW(AA$5),報告用!$AJ$4:$AJ$37,報告用!$F$4:$F$37,"",FALSE)</f>
        <v>17</v>
      </c>
      <c r="AB8" s="151" t="str">
        <f>_xlfn.XLOOKUP(ROW(AB8)+1-ROW(AB$5),報告用!$AJ$4:$AJ$37,報告用!$G$4:$G$37,"",FALSE)</f>
        <v>河野　秀夫</v>
      </c>
      <c r="AC8" s="95" t="str">
        <f>IF(_xlfn.XLOOKUP(ROW(AC8)+1-ROW(AC$5),報告用!$AJ$4:$AJ$37,報告用!$E$4:$E$37,"",FALSE)=AA8,"",_xlfn.XLOOKUP(ROW(AC8)+1-ROW(AC$5),報告用!$AJ$4:$AJ$37,報告用!$E$4:$E$37,"",FALSE))</f>
        <v/>
      </c>
    </row>
    <row r="9" spans="1:29" ht="32.1" customHeight="1">
      <c r="A9" s="235"/>
      <c r="B9" s="84" t="str">
        <f>_xlfn.XLOOKUP(ROW(B9)+1-ROW(B$5),報告用!$AC$4:$AC$37,報告用!F$4:F$37,"",FALSE)</f>
        <v/>
      </c>
      <c r="C9" s="150" t="str">
        <f>_xlfn.XLOOKUP(ROW(C9)+1-ROW(C$5),報告用!$AC$4:$AC$37,報告用!G$4:G$37,"",FALSE)</f>
        <v/>
      </c>
      <c r="D9" s="87" t="str">
        <f>IF(_xlfn.XLOOKUP(ROW(D9)+1-ROW(D$5),報告用!$AC$4:$AC$37,報告用!E$4:E$37,"",FALSE)=B9,"",_xlfn.XLOOKUP(ROW(D9)+1-ROW(D$5),報告用!$AC$4:$AC$37,報告用!E$4:E$37,"",FALSE))</f>
        <v/>
      </c>
      <c r="F9" s="237"/>
      <c r="G9" s="92">
        <f>_xlfn.XLOOKUP(ROW(G9)+1-ROW(G$5),報告用!$AF$4:$AF$37,報告用!$F$4:$F$37,"",FALSE)</f>
        <v>17</v>
      </c>
      <c r="H9" s="151" t="str">
        <f>_xlfn.XLOOKUP(ROW(H9)+1-ROW(H$5),報告用!$AF$4:$AF$37,報告用!$G$4:$G$37,"",FALSE)</f>
        <v>河野　秀夫</v>
      </c>
      <c r="I9" s="95" t="str">
        <f>IF(_xlfn.XLOOKUP(ROW(I9)+1-ROW(I$5),報告用!$AF$4:$AF$37,報告用!$E$4:$E$37,"",FALSE)=G9,"",_xlfn.XLOOKUP(ROW(I9)+1-ROW(I$5),報告用!$AF$4:$AF$37,報告用!$E$4:$E$37,"",FALSE))</f>
        <v/>
      </c>
      <c r="J9" s="77"/>
      <c r="K9" s="237"/>
      <c r="L9" s="92">
        <f>_xlfn.XLOOKUP(ROW(L9)+1-ROW(L$5),報告用!$AG$4:$AG$37,報告用!$F$4:$F$37,"",FALSE)</f>
        <v>17</v>
      </c>
      <c r="M9" s="151" t="str">
        <f>_xlfn.XLOOKUP(ROW(M9)+1-ROW(M$5),報告用!$AG$4:$AG$37,報告用!$G$4:$G$37,"",FALSE)</f>
        <v>河野　秀夫</v>
      </c>
      <c r="N9" s="95" t="str">
        <f>IF(_xlfn.XLOOKUP(ROW(N9)+1-ROW(N$5),報告用!$AG$4:$AG$37,報告用!$E$4:$E$37,"",FALSE)=L9,"",_xlfn.XLOOKUP(ROW(N9)+1-ROW(N$5),報告用!$AG$4:$AG$37,報告用!$E$4:$E$37,"",FALSE))</f>
        <v/>
      </c>
      <c r="P9" s="237"/>
      <c r="Q9" s="84">
        <f>_xlfn.XLOOKUP(ROW(Q9)+1-ROW(Q$5),報告用!$AH$4:$AH$37,報告用!$F$4:$F$37,"",FALSE)</f>
        <v>17</v>
      </c>
      <c r="R9" s="150" t="str">
        <f>_xlfn.XLOOKUP(ROW(R9)+1-ROW(R$5),報告用!$AH$4:$AH$37,報告用!$G$4:$G$37,"",FALSE)</f>
        <v>河野　秀夫</v>
      </c>
      <c r="S9" s="87" t="str">
        <f>IF(_xlfn.XLOOKUP(ROW(S9)+1-ROW(S$5),報告用!$AH$4:$AH$37,報告用!$E$4:$E$37,"",FALSE)=Q9,"",_xlfn.XLOOKUP(ROW(S9)+1-ROW(S$5),報告用!$AH$4:$AH$37,報告用!$E$4:$E$37,"",FALSE))</f>
        <v/>
      </c>
      <c r="U9" s="237"/>
      <c r="V9" s="84">
        <f>_xlfn.XLOOKUP(ROW(V9)+1-ROW(V$5),報告用!$AI$4:$AI$37,報告用!$F$4:$F$37,"",FALSE)</f>
        <v>17</v>
      </c>
      <c r="W9" s="150" t="str">
        <f>_xlfn.XLOOKUP(ROW(W9)+1-ROW(W$5),報告用!$AI$4:$AI$37,報告用!$G$4:$G$37,"",FALSE)</f>
        <v>河野　秀夫</v>
      </c>
      <c r="X9" s="87" t="str">
        <f>IF(_xlfn.XLOOKUP(ROW(X9)+1-ROW(X$5),報告用!$AI$4:$AI$37,報告用!$E$4:$E$37,"",FALSE)=V9,"",_xlfn.XLOOKUP(ROW(X9)+1-ROW(X$5),報告用!$AI$4:$AI$37,報告用!$E$4:$E$37,"",FALSE))</f>
        <v/>
      </c>
      <c r="Y9" s="77"/>
      <c r="Z9" s="237"/>
      <c r="AA9" s="92">
        <f>_xlfn.XLOOKUP(ROW(AA9)+1-ROW(AA$5),報告用!$AJ$4:$AJ$37,報告用!$F$4:$F$37,"",FALSE)</f>
        <v>17</v>
      </c>
      <c r="AB9" s="151" t="str">
        <f>_xlfn.XLOOKUP(ROW(AB9)+1-ROW(AB$5),報告用!$AJ$4:$AJ$37,報告用!$G$4:$G$37,"",FALSE)</f>
        <v>斎藤　潤一</v>
      </c>
      <c r="AC9" s="95" t="str">
        <f>IF(_xlfn.XLOOKUP(ROW(AC9)+1-ROW(AC$5),報告用!$AJ$4:$AJ$37,報告用!$E$4:$E$37,"",FALSE)=AA9,"",_xlfn.XLOOKUP(ROW(AC9)+1-ROW(AC$5),報告用!$AJ$4:$AJ$37,報告用!$E$4:$E$37,"",FALSE))</f>
        <v/>
      </c>
    </row>
    <row r="10" spans="1:29" ht="32.1" customHeight="1">
      <c r="A10" s="235"/>
      <c r="B10" s="84" t="str">
        <f>_xlfn.XLOOKUP(ROW(B10)+1-ROW(B$5),報告用!$AC$4:$AC$37,報告用!F$4:F$37,"",FALSE)</f>
        <v/>
      </c>
      <c r="C10" s="150" t="str">
        <f>_xlfn.XLOOKUP(ROW(C10)+1-ROW(C$5),報告用!$AC$4:$AC$37,報告用!G$4:G$37,"",FALSE)</f>
        <v/>
      </c>
      <c r="D10" s="87" t="str">
        <f>IF(_xlfn.XLOOKUP(ROW(D10)+1-ROW(D$5),報告用!$AC$4:$AC$37,報告用!E$4:E$37,"",FALSE)=B10,"",_xlfn.XLOOKUP(ROW(D10)+1-ROW(D$5),報告用!$AC$4:$AC$37,報告用!E$4:E$37,"",FALSE))</f>
        <v/>
      </c>
      <c r="F10" s="237"/>
      <c r="G10" s="92">
        <f>_xlfn.XLOOKUP(ROW(G10)+1-ROW(G$5),報告用!$AF$4:$AF$37,報告用!$F$4:$F$37,"",FALSE)</f>
        <v>17</v>
      </c>
      <c r="H10" s="151" t="str">
        <f>_xlfn.XLOOKUP(ROW(H10)+1-ROW(H$5),報告用!$AF$4:$AF$37,報告用!$G$4:$G$37,"",FALSE)</f>
        <v>斎藤　潤一</v>
      </c>
      <c r="I10" s="95" t="str">
        <f>IF(_xlfn.XLOOKUP(ROW(I10)+1-ROW(I$5),報告用!$AF$4:$AF$37,報告用!$E$4:$E$37,"",FALSE)=G10,"",_xlfn.XLOOKUP(ROW(I10)+1-ROW(I$5),報告用!$AF$4:$AF$37,報告用!$E$4:$E$37,"",FALSE))</f>
        <v/>
      </c>
      <c r="J10" s="77"/>
      <c r="K10" s="237"/>
      <c r="L10" s="92">
        <f>_xlfn.XLOOKUP(ROW(L10)+1-ROW(L$5),報告用!$AG$4:$AG$37,報告用!$F$4:$F$37,"",FALSE)</f>
        <v>17</v>
      </c>
      <c r="M10" s="151" t="str">
        <f>_xlfn.XLOOKUP(ROW(M10)+1-ROW(M$5),報告用!$AG$4:$AG$37,報告用!$G$4:$G$37,"",FALSE)</f>
        <v>斎藤　潤一</v>
      </c>
      <c r="N10" s="95" t="str">
        <f>IF(_xlfn.XLOOKUP(ROW(N10)+1-ROW(N$5),報告用!$AG$4:$AG$37,報告用!$E$4:$E$37,"",FALSE)=L10,"",_xlfn.XLOOKUP(ROW(N10)+1-ROW(N$5),報告用!$AG$4:$AG$37,報告用!$E$4:$E$37,"",FALSE))</f>
        <v/>
      </c>
      <c r="P10" s="237"/>
      <c r="Q10" s="84">
        <f>_xlfn.XLOOKUP(ROW(Q10)+1-ROW(Q$5),報告用!$AH$4:$AH$37,報告用!$F$4:$F$37,"",FALSE)</f>
        <v>17</v>
      </c>
      <c r="R10" s="150" t="str">
        <f>_xlfn.XLOOKUP(ROW(R10)+1-ROW(R$5),報告用!$AH$4:$AH$37,報告用!$G$4:$G$37,"",FALSE)</f>
        <v>斎藤　潤一</v>
      </c>
      <c r="S10" s="87" t="str">
        <f>IF(_xlfn.XLOOKUP(ROW(S10)+1-ROW(S$5),報告用!$AH$4:$AH$37,報告用!$E$4:$E$37,"",FALSE)=Q10,"",_xlfn.XLOOKUP(ROW(S10)+1-ROW(S$5),報告用!$AH$4:$AH$37,報告用!$E$4:$E$37,"",FALSE))</f>
        <v/>
      </c>
      <c r="U10" s="237"/>
      <c r="V10" s="84">
        <f>_xlfn.XLOOKUP(ROW(V10)+1-ROW(V$5),報告用!$AI$4:$AI$37,報告用!$F$4:$F$37,"",FALSE)</f>
        <v>17</v>
      </c>
      <c r="W10" s="150" t="str">
        <f>_xlfn.XLOOKUP(ROW(W10)+1-ROW(W$5),報告用!$AI$4:$AI$37,報告用!$G$4:$G$37,"",FALSE)</f>
        <v>斎藤　潤一</v>
      </c>
      <c r="X10" s="87" t="str">
        <f>IF(_xlfn.XLOOKUP(ROW(X10)+1-ROW(X$5),報告用!$AI$4:$AI$37,報告用!$E$4:$E$37,"",FALSE)=V10,"",_xlfn.XLOOKUP(ROW(X10)+1-ROW(X$5),報告用!$AI$4:$AI$37,報告用!$E$4:$E$37,"",FALSE))</f>
        <v/>
      </c>
      <c r="Y10" s="77"/>
      <c r="Z10" s="237"/>
      <c r="AA10" s="92">
        <f>_xlfn.XLOOKUP(ROW(AA10)+1-ROW(AA$5),報告用!$AJ$4:$AJ$37,報告用!$F$4:$F$37,"",FALSE)</f>
        <v>17</v>
      </c>
      <c r="AB10" s="151" t="str">
        <f>_xlfn.XLOOKUP(ROW(AB10)+1-ROW(AB$5),報告用!$AJ$4:$AJ$37,報告用!$G$4:$G$37,"",FALSE)</f>
        <v>小澤　俊治</v>
      </c>
      <c r="AC10" s="95" t="str">
        <f>IF(_xlfn.XLOOKUP(ROW(AC10)+1-ROW(AC$5),報告用!$AJ$4:$AJ$37,報告用!$E$4:$E$37,"",FALSE)=AA10,"",_xlfn.XLOOKUP(ROW(AC10)+1-ROW(AC$5),報告用!$AJ$4:$AJ$37,報告用!$E$4:$E$37,"",FALSE))</f>
        <v/>
      </c>
    </row>
    <row r="11" spans="1:29" ht="32.1" customHeight="1">
      <c r="A11" s="235"/>
      <c r="B11" s="84" t="str">
        <f>_xlfn.XLOOKUP(ROW(B11)+1-ROW(B$5),報告用!$AC$4:$AC$37,報告用!F$4:F$37,"",FALSE)</f>
        <v/>
      </c>
      <c r="C11" s="150" t="str">
        <f>_xlfn.XLOOKUP(ROW(C11)+1-ROW(C$5),報告用!$AC$4:$AC$37,報告用!G$4:G$37,"",FALSE)</f>
        <v/>
      </c>
      <c r="D11" s="87" t="str">
        <f>IF(_xlfn.XLOOKUP(ROW(D11)+1-ROW(D$5),報告用!$AC$4:$AC$37,報告用!E$4:E$37,"",FALSE)=B11,"",_xlfn.XLOOKUP(ROW(D11)+1-ROW(D$5),報告用!$AC$4:$AC$37,報告用!E$4:E$37,"",FALSE))</f>
        <v/>
      </c>
      <c r="F11" s="237"/>
      <c r="G11" s="92">
        <f>_xlfn.XLOOKUP(ROW(G11)+1-ROW(G$5),報告用!$AF$4:$AF$37,報告用!$F$4:$F$37,"",FALSE)</f>
        <v>17</v>
      </c>
      <c r="H11" s="151" t="str">
        <f>_xlfn.XLOOKUP(ROW(H11)+1-ROW(H$5),報告用!$AF$4:$AF$37,報告用!$G$4:$G$37,"",FALSE)</f>
        <v>小澤　俊治</v>
      </c>
      <c r="I11" s="95" t="str">
        <f>IF(_xlfn.XLOOKUP(ROW(I11)+1-ROW(I$5),報告用!$AF$4:$AF$37,報告用!$E$4:$E$37,"",FALSE)=G11,"",_xlfn.XLOOKUP(ROW(I11)+1-ROW(I$5),報告用!$AF$4:$AF$37,報告用!$E$4:$E$37,"",FALSE))</f>
        <v/>
      </c>
      <c r="J11" s="77"/>
      <c r="K11" s="237"/>
      <c r="L11" s="92">
        <f>_xlfn.XLOOKUP(ROW(L11)+1-ROW(L$5),報告用!$AG$4:$AG$37,報告用!$F$4:$F$37,"",FALSE)</f>
        <v>17</v>
      </c>
      <c r="M11" s="151" t="str">
        <f>_xlfn.XLOOKUP(ROW(M11)+1-ROW(M$5),報告用!$AG$4:$AG$37,報告用!$G$4:$G$37,"",FALSE)</f>
        <v>小澤　俊治</v>
      </c>
      <c r="N11" s="95" t="str">
        <f>IF(_xlfn.XLOOKUP(ROW(N11)+1-ROW(N$5),報告用!$AG$4:$AG$37,報告用!$E$4:$E$37,"",FALSE)=L11,"",_xlfn.XLOOKUP(ROW(N11)+1-ROW(N$5),報告用!$AG$4:$AG$37,報告用!$E$4:$E$37,"",FALSE))</f>
        <v/>
      </c>
      <c r="P11" s="237"/>
      <c r="Q11" s="84">
        <f>_xlfn.XLOOKUP(ROW(Q11)+1-ROW(Q$5),報告用!$AH$4:$AH$37,報告用!$F$4:$F$37,"",FALSE)</f>
        <v>17</v>
      </c>
      <c r="R11" s="150" t="str">
        <f>_xlfn.XLOOKUP(ROW(R11)+1-ROW(R$5),報告用!$AH$4:$AH$37,報告用!$G$4:$G$37,"",FALSE)</f>
        <v>小澤　俊治</v>
      </c>
      <c r="S11" s="87" t="str">
        <f>IF(_xlfn.XLOOKUP(ROW(S11)+1-ROW(S$5),報告用!$AH$4:$AH$37,報告用!$E$4:$E$37,"",FALSE)=Q11,"",_xlfn.XLOOKUP(ROW(S11)+1-ROW(S$5),報告用!$AH$4:$AH$37,報告用!$E$4:$E$37,"",FALSE))</f>
        <v/>
      </c>
      <c r="U11" s="237"/>
      <c r="V11" s="84">
        <f>_xlfn.XLOOKUP(ROW(V11)+1-ROW(V$5),報告用!$AI$4:$AI$37,報告用!$F$4:$F$37,"",FALSE)</f>
        <v>17</v>
      </c>
      <c r="W11" s="150" t="str">
        <f>_xlfn.XLOOKUP(ROW(W11)+1-ROW(W$5),報告用!$AI$4:$AI$37,報告用!$G$4:$G$37,"",FALSE)</f>
        <v>小澤　俊治</v>
      </c>
      <c r="X11" s="87" t="str">
        <f>IF(_xlfn.XLOOKUP(ROW(X11)+1-ROW(X$5),報告用!$AI$4:$AI$37,報告用!$E$4:$E$37,"",FALSE)=V11,"",_xlfn.XLOOKUP(ROW(X11)+1-ROW(X$5),報告用!$AI$4:$AI$37,報告用!$E$4:$E$37,"",FALSE))</f>
        <v/>
      </c>
      <c r="Y11" s="77"/>
      <c r="Z11" s="237"/>
      <c r="AA11" s="92">
        <f>_xlfn.XLOOKUP(ROW(AA11)+1-ROW(AA$5),報告用!$AJ$4:$AJ$37,報告用!$F$4:$F$37,"",FALSE)</f>
        <v>18</v>
      </c>
      <c r="AB11" s="151" t="str">
        <f>_xlfn.XLOOKUP(ROW(AB11)+1-ROW(AB$5),報告用!$AJ$4:$AJ$37,報告用!$G$4:$G$37,"",FALSE)</f>
        <v>吉井　用子</v>
      </c>
      <c r="AC11" s="95" t="str">
        <f>IF(_xlfn.XLOOKUP(ROW(AC11)+1-ROW(AC$5),報告用!$AJ$4:$AJ$37,報告用!$E$4:$E$37,"",FALSE)=AA11,"",_xlfn.XLOOKUP(ROW(AC11)+1-ROW(AC$5),報告用!$AJ$4:$AJ$37,報告用!$E$4:$E$37,"",FALSE))</f>
        <v/>
      </c>
    </row>
    <row r="12" spans="1:29" ht="32.1" customHeight="1" thickBot="1">
      <c r="A12" s="235"/>
      <c r="B12" s="84" t="str">
        <f>_xlfn.XLOOKUP(ROW(B12)+1-ROW(B$5),報告用!$AC$4:$AC$37,報告用!F$4:F$37,"",FALSE)</f>
        <v/>
      </c>
      <c r="C12" s="150" t="str">
        <f>_xlfn.XLOOKUP(ROW(C12)+1-ROW(C$5),報告用!$AC$4:$AC$37,報告用!G$4:G$37,"",FALSE)</f>
        <v/>
      </c>
      <c r="D12" s="87" t="str">
        <f>IF(_xlfn.XLOOKUP(ROW(D12)+1-ROW(D$5),報告用!$AC$4:$AC$37,報告用!E$4:E$37,"",FALSE)=B12,"",_xlfn.XLOOKUP(ROW(D12)+1-ROW(D$5),報告用!$AC$4:$AC$37,報告用!E$4:E$37,"",FALSE))</f>
        <v/>
      </c>
      <c r="F12" s="238"/>
      <c r="G12" s="152">
        <f>_xlfn.XLOOKUP(ROW(G12)+1-ROW(G$5),報告用!$AF$4:$AF$37,報告用!$F$4:$F$37,"",FALSE)</f>
        <v>18</v>
      </c>
      <c r="H12" s="153" t="str">
        <f>_xlfn.XLOOKUP(ROW(H12)+1-ROW(H$5),報告用!$AF$4:$AF$37,報告用!$G$4:$G$37,"",FALSE)</f>
        <v>吉井　用子</v>
      </c>
      <c r="I12" s="154" t="str">
        <f>IF(_xlfn.XLOOKUP(ROW(I12)+1-ROW(I$5),報告用!$AF$4:$AF$37,報告用!$E$4:$E$37,"",FALSE)=G12,"",_xlfn.XLOOKUP(ROW(I12)+1-ROW(I$5),報告用!$AF$4:$AF$37,報告用!$E$4:$E$37,"",FALSE))</f>
        <v/>
      </c>
      <c r="J12" s="77"/>
      <c r="K12" s="238"/>
      <c r="L12" s="152">
        <f>_xlfn.XLOOKUP(ROW(L12)+1-ROW(L$5),報告用!$AG$4:$AG$37,報告用!$F$4:$F$37,"",FALSE)</f>
        <v>18</v>
      </c>
      <c r="M12" s="153" t="str">
        <f>_xlfn.XLOOKUP(ROW(M12)+1-ROW(M$5),報告用!$AG$4:$AG$37,報告用!$G$4:$G$37,"",FALSE)</f>
        <v>吉井　用子</v>
      </c>
      <c r="N12" s="154" t="str">
        <f>IF(_xlfn.XLOOKUP(ROW(N12)+1-ROW(N$5),報告用!$AG$4:$AG$37,報告用!$E$4:$E$37,"",FALSE)=L12,"",_xlfn.XLOOKUP(ROW(N12)+1-ROW(N$5),報告用!$AG$4:$AG$37,報告用!$E$4:$E$37,"",FALSE))</f>
        <v/>
      </c>
      <c r="P12" s="238"/>
      <c r="Q12" s="88">
        <f>_xlfn.XLOOKUP(ROW(Q12)+1-ROW(Q$5),報告用!$AH$4:$AH$37,報告用!$F$4:$F$37,"",FALSE)</f>
        <v>18</v>
      </c>
      <c r="R12" s="155" t="str">
        <f>_xlfn.XLOOKUP(ROW(R12)+1-ROW(R$5),報告用!$AH$4:$AH$37,報告用!$G$4:$G$37,"",FALSE)</f>
        <v>吉井　用子</v>
      </c>
      <c r="S12" s="91" t="str">
        <f>IF(_xlfn.XLOOKUP(ROW(S12)+1-ROW(S$5),報告用!$AH$4:$AH$37,報告用!$E$4:$E$37,"",FALSE)=Q12,"",_xlfn.XLOOKUP(ROW(S12)+1-ROW(S$5),報告用!$AH$4:$AH$37,報告用!$E$4:$E$37,"",FALSE))</f>
        <v/>
      </c>
      <c r="U12" s="238"/>
      <c r="V12" s="88">
        <f>_xlfn.XLOOKUP(ROW(V12)+1-ROW(V$5),報告用!$AI$4:$AI$37,報告用!$F$4:$F$37,"",FALSE)</f>
        <v>18</v>
      </c>
      <c r="W12" s="155" t="str">
        <f>_xlfn.XLOOKUP(ROW(W12)+1-ROW(W$5),報告用!$AI$4:$AI$37,報告用!$G$4:$G$37,"",FALSE)</f>
        <v>吉井　用子</v>
      </c>
      <c r="X12" s="91" t="str">
        <f>IF(_xlfn.XLOOKUP(ROW(X12)+1-ROW(X$5),報告用!$AI$4:$AI$37,報告用!$E$4:$E$37,"",FALSE)=V12,"",_xlfn.XLOOKUP(ROW(X12)+1-ROW(X$5),報告用!$AI$4:$AI$37,報告用!$E$4:$E$37,"",FALSE))</f>
        <v/>
      </c>
      <c r="Y12" s="77"/>
      <c r="Z12" s="238"/>
      <c r="AA12" s="152">
        <f>_xlfn.XLOOKUP(ROW(AA12)+1-ROW(AA$5),報告用!$AJ$4:$AJ$37,報告用!$F$4:$F$37,"",FALSE)</f>
        <v>18</v>
      </c>
      <c r="AB12" s="153" t="str">
        <f>_xlfn.XLOOKUP(ROW(AB12)+1-ROW(AB$5),報告用!$AJ$4:$AJ$37,報告用!$G$4:$G$37,"",FALSE)</f>
        <v>山本　たみ子</v>
      </c>
      <c r="AC12" s="154" t="str">
        <f>IF(_xlfn.XLOOKUP(ROW(AC12)+1-ROW(AC$5),報告用!$AJ$4:$AJ$37,報告用!$E$4:$E$37,"",FALSE)=AA12,"",_xlfn.XLOOKUP(ROW(AC12)+1-ROW(AC$5),報告用!$AJ$4:$AJ$37,報告用!$E$4:$E$37,"",FALSE))</f>
        <v/>
      </c>
    </row>
    <row r="13" spans="1:29" ht="32.1" customHeight="1" thickTop="1">
      <c r="A13" s="235"/>
      <c r="B13" s="84" t="str">
        <f>_xlfn.XLOOKUP(ROW(B13)+1-ROW(B$5),報告用!$AC$4:$AC$37,報告用!F$4:F$37,"",FALSE)</f>
        <v/>
      </c>
      <c r="C13" s="150" t="str">
        <f>_xlfn.XLOOKUP(ROW(C13)+1-ROW(C$5),報告用!$AC$4:$AC$37,報告用!G$4:G$37,"",FALSE)</f>
        <v/>
      </c>
      <c r="D13" s="87" t="str">
        <f>IF(_xlfn.XLOOKUP(ROW(D13)+1-ROW(D$5),報告用!$AC$4:$AC$37,報告用!E$4:E$37,"",FALSE)=B13,"",_xlfn.XLOOKUP(ROW(D13)+1-ROW(D$5),報告用!$AC$4:$AC$37,報告用!E$4:E$37,"",FALSE))</f>
        <v/>
      </c>
      <c r="F13" s="239" t="s">
        <v>25</v>
      </c>
      <c r="G13" s="92">
        <f>_xlfn.XLOOKUP(ROW(G13)+1-ROW(G$13),報告用!$AK$4:$AK$37,報告用!$F$4:$F$37,"",FALSE)</f>
        <v>15</v>
      </c>
      <c r="H13" s="151" t="str">
        <f>_xlfn.XLOOKUP(ROW(H13)+1-ROW(H$13),報告用!$AK$4:$AK$37,報告用!$G$4:$G$37,"",FALSE)</f>
        <v>志村とも子</v>
      </c>
      <c r="I13" s="95" t="str">
        <f>IF(_xlfn.XLOOKUP(ROW(I13)+1-ROW(I$13),報告用!$AK$4:$AK$37,報告用!$E$4:$E$37,"",FALSE)=G13,"",_xlfn.XLOOKUP(ROW(I13)+1-ROW(I$13),報告用!$AK$4:$AK$37,報告用!$E$4:$E$37,"",FALSE))</f>
        <v/>
      </c>
      <c r="J13" s="77"/>
      <c r="K13" s="239" t="s">
        <v>25</v>
      </c>
      <c r="L13" s="92">
        <f>_xlfn.XLOOKUP(ROW(L13)+1-ROW(L$13),報告用!$AL$4:$AL$37,報告用!$F$4:$F$37,"",FALSE)</f>
        <v>15</v>
      </c>
      <c r="M13" s="151" t="str">
        <f>_xlfn.XLOOKUP(ROW(M13)+1-ROW(M$13),報告用!$AL$4:$AL$37,報告用!$G$4:$G$37,"",FALSE)</f>
        <v>志村とも子</v>
      </c>
      <c r="N13" s="95" t="str">
        <f>IF(_xlfn.XLOOKUP(ROW(N13)+1-ROW(N$13),報告用!$AL$4:$AL$37,報告用!$E$4:$E$37,"",FALSE)=L13,"",_xlfn.XLOOKUP(ROW(N13)+1-ROW(N$13),報告用!$AL$4:$AL$37,報告用!$E$4:$E$37,"",FALSE))</f>
        <v/>
      </c>
      <c r="P13" s="239" t="s">
        <v>25</v>
      </c>
      <c r="Q13" s="92">
        <f>_xlfn.XLOOKUP(ROW(Q13)+1-ROW(Q$13),報告用!$AM$4:$AM$37,報告用!$F$4:$F$37,"",FALSE)</f>
        <v>15</v>
      </c>
      <c r="R13" s="151" t="str">
        <f>_xlfn.XLOOKUP(ROW(R13)+1-ROW(R$13),報告用!$AM$4:$AM$37,報告用!$G$4:$G$37,"",FALSE)</f>
        <v>志村とも子</v>
      </c>
      <c r="S13" s="95" t="str">
        <f>IF(_xlfn.XLOOKUP(ROW(S13)+1-ROW(S$13),報告用!$AM$4:$AM$37,報告用!$E$4:$E$37,"",FALSE)=Q13,"",_xlfn.XLOOKUP(ROW(S13)+1-ROW(S$13),報告用!$AM$4:$AM$37,報告用!$E$4:$E$37,"",FALSE))</f>
        <v/>
      </c>
      <c r="U13" s="239" t="s">
        <v>25</v>
      </c>
      <c r="V13" s="92">
        <f>_xlfn.XLOOKUP(ROW(V13)+1-ROW(V$13),報告用!$AN$4:$AN$37,報告用!$F$4:$F$37,"",FALSE)</f>
        <v>15</v>
      </c>
      <c r="W13" s="151" t="str">
        <f>_xlfn.XLOOKUP(ROW(W13)+1-ROW(W$13),報告用!$AN$4:$AN$37,報告用!$G$4:$G$37,"",FALSE)</f>
        <v>志村とも子</v>
      </c>
      <c r="X13" s="95" t="str">
        <f>IF(_xlfn.XLOOKUP(ROW(X13)+1-ROW(X$13),報告用!$AN$4:$AN$37,報告用!$E$4:$E$37,"",FALSE)=V13,"",_xlfn.XLOOKUP(ROW(X13)+1-ROW(X$13),報告用!$AN$4:$AN$37,報告用!$E$4:$E$37,"",FALSE))</f>
        <v/>
      </c>
      <c r="Y13" s="77"/>
      <c r="Z13" s="239" t="s">
        <v>25</v>
      </c>
      <c r="AA13" s="92">
        <f>_xlfn.XLOOKUP(ROW(AA13)+1-ROW(AA$13),報告用!$AO$4:$AO$37,報告用!$F$4:$F$37,"",FALSE)</f>
        <v>15</v>
      </c>
      <c r="AB13" s="151" t="str">
        <f>_xlfn.XLOOKUP(ROW(AB13)+1-ROW(AB$13),報告用!$AO$4:$AO$37,報告用!$G$4:$G$37,"",FALSE)</f>
        <v>志村とも子</v>
      </c>
      <c r="AC13" s="95" t="str">
        <f>IF(_xlfn.XLOOKUP(ROW(AC13)+1-ROW(AC$13),報告用!$AO$4:$AO$37,報告用!$E$4:$E$37,"",FALSE)=AA13,"",_xlfn.XLOOKUP(ROW(AC13)+1-ROW(AC$13),報告用!$AO$4:$AO$37,報告用!$E$4:$E$37,"",FALSE))</f>
        <v/>
      </c>
    </row>
    <row r="14" spans="1:29" ht="32.1" customHeight="1">
      <c r="A14" s="235"/>
      <c r="B14" s="84" t="str">
        <f>_xlfn.XLOOKUP(ROW(B14)+1-ROW(B$5),報告用!$AC$4:$AC$37,報告用!F$4:F$37,"",FALSE)</f>
        <v/>
      </c>
      <c r="C14" s="150" t="str">
        <f>_xlfn.XLOOKUP(ROW(C14)+1-ROW(C$5),報告用!$AC$4:$AC$37,報告用!G$4:G$37,"",FALSE)</f>
        <v/>
      </c>
      <c r="D14" s="87" t="str">
        <f>IF(_xlfn.XLOOKUP(ROW(D14)+1-ROW(D$5),報告用!$AC$4:$AC$37,報告用!E$4:E$37,"",FALSE)=B14,"",_xlfn.XLOOKUP(ROW(D14)+1-ROW(D$5),報告用!$AC$4:$AC$37,報告用!E$4:E$37,"",FALSE))</f>
        <v/>
      </c>
      <c r="F14" s="237"/>
      <c r="G14" s="92">
        <f>_xlfn.XLOOKUP(ROW(G14)+1-ROW(G$13),報告用!$AK$4:$AK$37,報告用!$F$4:$F$37,"",FALSE)</f>
        <v>15</v>
      </c>
      <c r="H14" s="151" t="str">
        <f>_xlfn.XLOOKUP(ROW(H14)+1-ROW(H$13),報告用!$AK$4:$AK$37,報告用!$G$4:$G$37,"",FALSE)</f>
        <v>佐藤　亜美</v>
      </c>
      <c r="I14" s="95" t="str">
        <f>IF(_xlfn.XLOOKUP(ROW(I14)+1-ROW(I$13),報告用!$AK$4:$AK$37,報告用!$E$4:$E$37,"",FALSE)=G14,"",_xlfn.XLOOKUP(ROW(I14)+1-ROW(I$13),報告用!$AK$4:$AK$37,報告用!$E$4:$E$37,"",FALSE))</f>
        <v/>
      </c>
      <c r="J14" s="77"/>
      <c r="K14" s="237"/>
      <c r="L14" s="92">
        <f>_xlfn.XLOOKUP(ROW(L14)+1-ROW(L$13),報告用!$AL$4:$AL$37,報告用!$F$4:$F$37,"",FALSE)</f>
        <v>15</v>
      </c>
      <c r="M14" s="151" t="str">
        <f>_xlfn.XLOOKUP(ROW(M14)+1-ROW(M$13),報告用!$AL$4:$AL$37,報告用!$G$4:$G$37,"",FALSE)</f>
        <v>佐藤　亜美</v>
      </c>
      <c r="N14" s="95" t="str">
        <f>IF(_xlfn.XLOOKUP(ROW(N14)+1-ROW(N$13),報告用!$AL$4:$AL$37,報告用!$E$4:$E$37,"",FALSE)=L14,"",_xlfn.XLOOKUP(ROW(N14)+1-ROW(N$13),報告用!$AL$4:$AL$37,報告用!$E$4:$E$37,"",FALSE))</f>
        <v/>
      </c>
      <c r="P14" s="237"/>
      <c r="Q14" s="92">
        <f>_xlfn.XLOOKUP(ROW(Q14)+1-ROW(Q$13),報告用!$AM$4:$AM$37,報告用!$F$4:$F$37,"",FALSE)</f>
        <v>15</v>
      </c>
      <c r="R14" s="151" t="str">
        <f>_xlfn.XLOOKUP(ROW(R14)+1-ROW(R$13),報告用!$AM$4:$AM$37,報告用!$G$4:$G$37,"",FALSE)</f>
        <v>佐藤　亜美</v>
      </c>
      <c r="S14" s="95" t="str">
        <f>IF(_xlfn.XLOOKUP(ROW(S14)+1-ROW(S$13),報告用!$AM$4:$AM$37,報告用!$E$4:$E$37,"",FALSE)=Q14,"",_xlfn.XLOOKUP(ROW(S14)+1-ROW(S$13),報告用!$AM$4:$AM$37,報告用!$E$4:$E$37,"",FALSE))</f>
        <v/>
      </c>
      <c r="U14" s="237"/>
      <c r="V14" s="92">
        <f>_xlfn.XLOOKUP(ROW(V14)+1-ROW(V$13),報告用!$AN$4:$AN$37,報告用!$F$4:$F$37,"",FALSE)</f>
        <v>15</v>
      </c>
      <c r="W14" s="151" t="str">
        <f>_xlfn.XLOOKUP(ROW(W14)+1-ROW(W$13),報告用!$AN$4:$AN$37,報告用!$G$4:$G$37,"",FALSE)</f>
        <v>佐藤　亜美</v>
      </c>
      <c r="X14" s="95" t="str">
        <f>IF(_xlfn.XLOOKUP(ROW(X14)+1-ROW(X$13),報告用!$AN$4:$AN$37,報告用!$E$4:$E$37,"",FALSE)=V14,"",_xlfn.XLOOKUP(ROW(X14)+1-ROW(X$13),報告用!$AN$4:$AN$37,報告用!$E$4:$E$37,"",FALSE))</f>
        <v/>
      </c>
      <c r="Y14" s="77"/>
      <c r="Z14" s="237"/>
      <c r="AA14" s="92">
        <f>_xlfn.XLOOKUP(ROW(AA14)+1-ROW(AA$13),報告用!$AO$4:$AO$37,報告用!$F$4:$F$37,"",FALSE)</f>
        <v>15</v>
      </c>
      <c r="AB14" s="151" t="str">
        <f>_xlfn.XLOOKUP(ROW(AB14)+1-ROW(AB$13),報告用!$AO$4:$AO$37,報告用!$G$4:$G$37,"",FALSE)</f>
        <v>佐藤　亜美</v>
      </c>
      <c r="AC14" s="95" t="str">
        <f>IF(_xlfn.XLOOKUP(ROW(AC14)+1-ROW(AC$13),報告用!$AO$4:$AO$37,報告用!$E$4:$E$37,"",FALSE)=AA14,"",_xlfn.XLOOKUP(ROW(AC14)+1-ROW(AC$13),報告用!$AO$4:$AO$37,報告用!$E$4:$E$37,"",FALSE))</f>
        <v/>
      </c>
    </row>
    <row r="15" spans="1:29" ht="32.1" customHeight="1">
      <c r="A15" s="235"/>
      <c r="B15" s="84" t="str">
        <f>_xlfn.XLOOKUP(ROW(B15)+1-ROW(B$5),報告用!$AC$4:$AC$37,報告用!F$4:F$37,"",FALSE)</f>
        <v/>
      </c>
      <c r="C15" s="150" t="str">
        <f>_xlfn.XLOOKUP(ROW(C15)+1-ROW(C$5),報告用!$AC$4:$AC$37,報告用!G$4:G$37,"",FALSE)</f>
        <v/>
      </c>
      <c r="D15" s="87" t="str">
        <f>IF(_xlfn.XLOOKUP(ROW(D15)+1-ROW(D$5),報告用!$AC$4:$AC$37,報告用!E$4:E$37,"",FALSE)=B15,"",_xlfn.XLOOKUP(ROW(D15)+1-ROW(D$5),報告用!$AC$4:$AC$37,報告用!E$4:E$37,"",FALSE))</f>
        <v/>
      </c>
      <c r="F15" s="237"/>
      <c r="G15" s="92" t="str">
        <f>_xlfn.XLOOKUP(ROW(G15)+1-ROW(G$13),報告用!$AK$4:$AK$37,報告用!$F$4:$F$37,"",FALSE)</f>
        <v/>
      </c>
      <c r="H15" s="151" t="str">
        <f>_xlfn.XLOOKUP(ROW(H15)+1-ROW(H$13),報告用!$AK$4:$AK$37,報告用!$G$4:$G$37,"",FALSE)</f>
        <v/>
      </c>
      <c r="I15" s="95" t="str">
        <f>IF(_xlfn.XLOOKUP(ROW(I15)+1-ROW(I$13),報告用!$AK$4:$AK$37,報告用!$E$4:$E$37,"",FALSE)=G15,"",_xlfn.XLOOKUP(ROW(I15)+1-ROW(I$13),報告用!$AK$4:$AK$37,報告用!$E$4:$E$37,"",FALSE))</f>
        <v/>
      </c>
      <c r="J15" s="77"/>
      <c r="K15" s="237"/>
      <c r="L15" s="92">
        <f>_xlfn.XLOOKUP(ROW(L15)+1-ROW(L$13),報告用!$AL$4:$AL$37,報告用!$F$4:$F$37,"",FALSE)</f>
        <v>16</v>
      </c>
      <c r="M15" s="151" t="str">
        <f>_xlfn.XLOOKUP(ROW(M15)+1-ROW(M$13),報告用!$AL$4:$AL$37,報告用!$G$4:$G$37,"",FALSE)</f>
        <v>牛山　はつ子</v>
      </c>
      <c r="N15" s="95" t="str">
        <f>IF(_xlfn.XLOOKUP(ROW(N15)+1-ROW(N$13),報告用!$AL$4:$AL$37,報告用!$E$4:$E$37,"",FALSE)=L15,"",_xlfn.XLOOKUP(ROW(N15)+1-ROW(N$13),報告用!$AL$4:$AL$37,報告用!$E$4:$E$37,"",FALSE))</f>
        <v/>
      </c>
      <c r="P15" s="237"/>
      <c r="Q15" s="92" t="str">
        <f>_xlfn.XLOOKUP(ROW(Q15)+1-ROW(Q$13),報告用!$AM$4:$AM$37,報告用!$F$4:$F$37,"",FALSE)</f>
        <v/>
      </c>
      <c r="R15" s="151" t="str">
        <f>_xlfn.XLOOKUP(ROW(R15)+1-ROW(R$13),報告用!$AM$4:$AM$37,報告用!$G$4:$G$37,"",FALSE)</f>
        <v/>
      </c>
      <c r="S15" s="95" t="str">
        <f>IF(_xlfn.XLOOKUP(ROW(S15)+1-ROW(S$13),報告用!$AM$4:$AM$37,報告用!$E$4:$E$37,"",FALSE)=Q15,"",_xlfn.XLOOKUP(ROW(S15)+1-ROW(S$13),報告用!$AM$4:$AM$37,報告用!$E$4:$E$37,"",FALSE))</f>
        <v/>
      </c>
      <c r="U15" s="237"/>
      <c r="V15" s="92">
        <f>_xlfn.XLOOKUP(ROW(V15)+1-ROW(V$13),報告用!$AN$4:$AN$37,報告用!$F$4:$F$37,"",FALSE)</f>
        <v>16</v>
      </c>
      <c r="W15" s="151" t="str">
        <f>_xlfn.XLOOKUP(ROW(W15)+1-ROW(W$13),報告用!$AN$4:$AN$37,報告用!$G$4:$G$37,"",FALSE)</f>
        <v>牛山　はつ子</v>
      </c>
      <c r="X15" s="95" t="str">
        <f>IF(_xlfn.XLOOKUP(ROW(X15)+1-ROW(X$13),報告用!$AN$4:$AN$37,報告用!$E$4:$E$37,"",FALSE)=V15,"",_xlfn.XLOOKUP(ROW(X15)+1-ROW(X$13),報告用!$AN$4:$AN$37,報告用!$E$4:$E$37,"",FALSE))</f>
        <v/>
      </c>
      <c r="Y15" s="77"/>
      <c r="Z15" s="237"/>
      <c r="AA15" s="92" t="str">
        <f>_xlfn.XLOOKUP(ROW(AA15)+1-ROW(AA$13),報告用!$AO$4:$AO$37,報告用!$F$4:$F$37,"",FALSE)</f>
        <v/>
      </c>
      <c r="AB15" s="151" t="str">
        <f>_xlfn.XLOOKUP(ROW(AB15)+1-ROW(AB$13),報告用!$AO$4:$AO$37,報告用!$G$4:$G$37,"",FALSE)</f>
        <v/>
      </c>
      <c r="AC15" s="95" t="str">
        <f>IF(_xlfn.XLOOKUP(ROW(AC15)+1-ROW(AC$13),報告用!$AO$4:$AO$37,報告用!$E$4:$E$37,"",FALSE)=AA15,"",_xlfn.XLOOKUP(ROW(AC15)+1-ROW(AC$13),報告用!$AO$4:$AO$37,報告用!$E$4:$E$37,"",FALSE))</f>
        <v/>
      </c>
    </row>
    <row r="16" spans="1:29" ht="32.1" customHeight="1" thickBot="1">
      <c r="A16" s="230"/>
      <c r="B16" s="88" t="str">
        <f>_xlfn.XLOOKUP(ROW(B16)+1-ROW(B$5),報告用!$AC$4:$AC$37,報告用!F$4:F$37,"",FALSE)</f>
        <v/>
      </c>
      <c r="C16" s="155" t="str">
        <f>_xlfn.XLOOKUP(ROW(C16)+1-ROW(C$5),報告用!$AC$4:$AC$37,報告用!G$4:G$37,"",FALSE)</f>
        <v/>
      </c>
      <c r="D16" s="91" t="str">
        <f>IF(_xlfn.XLOOKUP(ROW(D16)+1-ROW(D$5),報告用!$AC$4:$AC$37,報告用!E$4:E$37,"",FALSE)=B16,"",_xlfn.XLOOKUP(ROW(D16)+1-ROW(D$5),報告用!$AC$4:$AC$37,報告用!E$4:E$37,"",FALSE))</f>
        <v/>
      </c>
      <c r="F16" s="237"/>
      <c r="G16" s="92">
        <f>_xlfn.XLOOKUP(ROW(G16)+1-ROW(G$13),報告用!$AK$4:$AK$37,報告用!$F$4:$F$37,"",FALSE)</f>
        <v>16</v>
      </c>
      <c r="H16" s="151" t="str">
        <f>_xlfn.XLOOKUP(ROW(H16)+1-ROW(H$13),報告用!$AK$4:$AK$37,報告用!$G$4:$G$37,"",FALSE)</f>
        <v>牛山　はつ子</v>
      </c>
      <c r="I16" s="95" t="str">
        <f>IF(_xlfn.XLOOKUP(ROW(I16)+1-ROW(I$13),報告用!$AK$4:$AK$37,報告用!$E$4:$E$37,"",FALSE)=G16,"",_xlfn.XLOOKUP(ROW(I16)+1-ROW(I$13),報告用!$AK$4:$AK$37,報告用!$E$4:$E$37,"",FALSE))</f>
        <v/>
      </c>
      <c r="J16" s="77"/>
      <c r="K16" s="237"/>
      <c r="L16" s="92">
        <f>_xlfn.XLOOKUP(ROW(L16)+1-ROW(L$13),報告用!$AL$4:$AL$37,報告用!$F$4:$F$37,"",FALSE)</f>
        <v>16</v>
      </c>
      <c r="M16" s="151" t="str">
        <f>_xlfn.XLOOKUP(ROW(M16)+1-ROW(M$13),報告用!$AL$4:$AL$37,報告用!$G$4:$G$37,"",FALSE)</f>
        <v>西山　望</v>
      </c>
      <c r="N16" s="95" t="str">
        <f>IF(_xlfn.XLOOKUP(ROW(N16)+1-ROW(N$13),報告用!$AL$4:$AL$37,報告用!$E$4:$E$37,"",FALSE)=L16,"",_xlfn.XLOOKUP(ROW(N16)+1-ROW(N$13),報告用!$AL$4:$AL$37,報告用!$E$4:$E$37,"",FALSE))</f>
        <v/>
      </c>
      <c r="P16" s="237"/>
      <c r="Q16" s="92">
        <f>_xlfn.XLOOKUP(ROW(Q16)+1-ROW(Q$13),報告用!$AM$4:$AM$37,報告用!$F$4:$F$37,"",FALSE)</f>
        <v>16</v>
      </c>
      <c r="R16" s="151" t="str">
        <f>_xlfn.XLOOKUP(ROW(R16)+1-ROW(R$13),報告用!$AM$4:$AM$37,報告用!$G$4:$G$37,"",FALSE)</f>
        <v>牛山　はつ子</v>
      </c>
      <c r="S16" s="95" t="str">
        <f>IF(_xlfn.XLOOKUP(ROW(S16)+1-ROW(S$13),報告用!$AM$4:$AM$37,報告用!$E$4:$E$37,"",FALSE)=Q16,"",_xlfn.XLOOKUP(ROW(S16)+1-ROW(S$13),報告用!$AM$4:$AM$37,報告用!$E$4:$E$37,"",FALSE))</f>
        <v/>
      </c>
      <c r="U16" s="237"/>
      <c r="V16" s="92">
        <f>_xlfn.XLOOKUP(ROW(V16)+1-ROW(V$13),報告用!$AN$4:$AN$37,報告用!$F$4:$F$37,"",FALSE)</f>
        <v>16</v>
      </c>
      <c r="W16" s="151" t="str">
        <f>_xlfn.XLOOKUP(ROW(W16)+1-ROW(W$13),報告用!$AN$4:$AN$37,報告用!$G$4:$G$37,"",FALSE)</f>
        <v>西山　望</v>
      </c>
      <c r="X16" s="95" t="str">
        <f>IF(_xlfn.XLOOKUP(ROW(X16)+1-ROW(X$13),報告用!$AN$4:$AN$37,報告用!$E$4:$E$37,"",FALSE)=V16,"",_xlfn.XLOOKUP(ROW(X16)+1-ROW(X$13),報告用!$AN$4:$AN$37,報告用!$E$4:$E$37,"",FALSE))</f>
        <v/>
      </c>
      <c r="Y16" s="77"/>
      <c r="Z16" s="237"/>
      <c r="AA16" s="92">
        <f>_xlfn.XLOOKUP(ROW(AA16)+1-ROW(AA$13),報告用!$AO$4:$AO$37,報告用!$F$4:$F$37,"",FALSE)</f>
        <v>16</v>
      </c>
      <c r="AB16" s="151" t="str">
        <f>_xlfn.XLOOKUP(ROW(AB16)+1-ROW(AB$13),報告用!$AO$4:$AO$37,報告用!$G$4:$G$37,"",FALSE)</f>
        <v>牛山　はつ子</v>
      </c>
      <c r="AC16" s="95" t="str">
        <f>IF(_xlfn.XLOOKUP(ROW(AC16)+1-ROW(AC$13),報告用!$AO$4:$AO$37,報告用!$E$4:$E$37,"",FALSE)=AA16,"",_xlfn.XLOOKUP(ROW(AC16)+1-ROW(AC$13),報告用!$AO$4:$AO$37,報告用!$E$4:$E$37,"",FALSE))</f>
        <v/>
      </c>
    </row>
    <row r="17" spans="1:29" ht="32.1" customHeight="1" thickTop="1">
      <c r="A17" s="241" t="s">
        <v>107</v>
      </c>
      <c r="B17" s="80">
        <f>_xlfn.XLOOKUP(ROW(B17)+1-ROW(B$17),報告用!$AD$4:$AD$37,報告用!F$4:F$37,"",FALSE)</f>
        <v>16</v>
      </c>
      <c r="C17" s="149" t="str">
        <f>_xlfn.XLOOKUP(ROW(C17)+1-ROW(C$17),報告用!$AD$4:$AD$37,報告用!G$4:G$37,"",FALSE)</f>
        <v>牛山　はつ子</v>
      </c>
      <c r="D17" s="83" t="str">
        <f>IF(_xlfn.XLOOKUP(ROW(D17)+1-ROW(D$17),報告用!$AD$4:$AD$37,報告用!E$4:E$37,"",FALSE)=B17,"",_xlfn.XLOOKUP(ROW(D17)+1-ROW(D$17),報告用!$AD$4:$AD$37,報告用!E$4:E$37,"",FALSE))</f>
        <v/>
      </c>
      <c r="F17" s="237"/>
      <c r="G17" s="92">
        <f>_xlfn.XLOOKUP(ROW(G17)+1-ROW(G$13),報告用!$AK$4:$AK$37,報告用!$F$4:$F$37,"",FALSE)</f>
        <v>16</v>
      </c>
      <c r="H17" s="151" t="str">
        <f>_xlfn.XLOOKUP(ROW(H17)+1-ROW(H$13),報告用!$AK$4:$AK$37,報告用!$G$4:$G$37,"",FALSE)</f>
        <v>西山　望</v>
      </c>
      <c r="I17" s="95" t="str">
        <f>IF(_xlfn.XLOOKUP(ROW(I17)+1-ROW(I$13),報告用!$AK$4:$AK$37,報告用!$E$4:$E$37,"",FALSE)=G17,"",_xlfn.XLOOKUP(ROW(I17)+1-ROW(I$13),報告用!$AK$4:$AK$37,報告用!$E$4:$E$37,"",FALSE))</f>
        <v/>
      </c>
      <c r="J17" s="77"/>
      <c r="K17" s="237"/>
      <c r="L17" s="92">
        <f>_xlfn.XLOOKUP(ROW(L17)+1-ROW(L$13),報告用!$AL$4:$AL$37,報告用!$F$4:$F$37,"",FALSE)</f>
        <v>17</v>
      </c>
      <c r="M17" s="151" t="str">
        <f>_xlfn.XLOOKUP(ROW(M17)+1-ROW(M$13),報告用!$AL$4:$AL$37,報告用!$G$4:$G$37,"",FALSE)</f>
        <v>斎藤　潤一</v>
      </c>
      <c r="N17" s="95" t="str">
        <f>IF(_xlfn.XLOOKUP(ROW(N17)+1-ROW(N$13),報告用!$AL$4:$AL$37,報告用!$E$4:$E$37,"",FALSE)=L17,"",_xlfn.XLOOKUP(ROW(N17)+1-ROW(N$13),報告用!$AL$4:$AL$37,報告用!$E$4:$E$37,"",FALSE))</f>
        <v/>
      </c>
      <c r="P17" s="237"/>
      <c r="Q17" s="92">
        <f>_xlfn.XLOOKUP(ROW(Q17)+1-ROW(Q$13),報告用!$AM$4:$AM$37,報告用!$F$4:$F$37,"",FALSE)</f>
        <v>16</v>
      </c>
      <c r="R17" s="151" t="str">
        <f>_xlfn.XLOOKUP(ROW(R17)+1-ROW(R$13),報告用!$AM$4:$AM$37,報告用!$G$4:$G$37,"",FALSE)</f>
        <v>西山　望</v>
      </c>
      <c r="S17" s="95" t="str">
        <f>IF(_xlfn.XLOOKUP(ROW(S17)+1-ROW(S$13),報告用!$AM$4:$AM$37,報告用!$E$4:$E$37,"",FALSE)=Q17,"",_xlfn.XLOOKUP(ROW(S17)+1-ROW(S$13),報告用!$AM$4:$AM$37,報告用!$E$4:$E$37,"",FALSE))</f>
        <v/>
      </c>
      <c r="U17" s="237"/>
      <c r="V17" s="92">
        <f>_xlfn.XLOOKUP(ROW(V17)+1-ROW(V$13),報告用!$AN$4:$AN$37,報告用!$F$4:$F$37,"",FALSE)</f>
        <v>17</v>
      </c>
      <c r="W17" s="151" t="str">
        <f>_xlfn.XLOOKUP(ROW(W17)+1-ROW(W$13),報告用!$AN$4:$AN$37,報告用!$G$4:$G$37,"",FALSE)</f>
        <v>斎藤　潤一</v>
      </c>
      <c r="X17" s="95" t="str">
        <f>IF(_xlfn.XLOOKUP(ROW(X17)+1-ROW(X$13),報告用!$AN$4:$AN$37,報告用!$E$4:$E$37,"",FALSE)=V17,"",_xlfn.XLOOKUP(ROW(X17)+1-ROW(X$13),報告用!$AN$4:$AN$37,報告用!$E$4:$E$37,"",FALSE))</f>
        <v/>
      </c>
      <c r="Y17" s="77"/>
      <c r="Z17" s="237"/>
      <c r="AA17" s="92">
        <f>_xlfn.XLOOKUP(ROW(AA17)+1-ROW(AA$13),報告用!$AO$4:$AO$37,報告用!$F$4:$F$37,"",FALSE)</f>
        <v>16</v>
      </c>
      <c r="AB17" s="151" t="str">
        <f>_xlfn.XLOOKUP(ROW(AB17)+1-ROW(AB$13),報告用!$AO$4:$AO$37,報告用!$G$4:$G$37,"",FALSE)</f>
        <v>西山　望</v>
      </c>
      <c r="AC17" s="95" t="str">
        <f>IF(_xlfn.XLOOKUP(ROW(AC17)+1-ROW(AC$13),報告用!$AO$4:$AO$37,報告用!$E$4:$E$37,"",FALSE)=AA17,"",_xlfn.XLOOKUP(ROW(AC17)+1-ROW(AC$13),報告用!$AO$4:$AO$37,報告用!$E$4:$E$37,"",FALSE))</f>
        <v/>
      </c>
    </row>
    <row r="18" spans="1:29" ht="32.1" customHeight="1">
      <c r="A18" s="235"/>
      <c r="B18" s="92">
        <f>_xlfn.XLOOKUP(ROW(B18)+1-ROW(B$17),報告用!$AD$4:$AD$37,報告用!F$4:F$37,"",FALSE)</f>
        <v>16</v>
      </c>
      <c r="C18" s="151" t="str">
        <f>_xlfn.XLOOKUP(ROW(C18)+1-ROW(C$17),報告用!$AD$4:$AD$37,報告用!G$4:G$37,"",FALSE)</f>
        <v>森　たい子</v>
      </c>
      <c r="D18" s="95" t="str">
        <f>IF(_xlfn.XLOOKUP(ROW(D18)+1-ROW(D$17),報告用!$AD$4:$AD$37,報告用!E$4:E$37,"",FALSE)=B18,"",_xlfn.XLOOKUP(ROW(D18)+1-ROW(D$17),報告用!$AD$4:$AD$37,報告用!E$4:E$37,"",FALSE))</f>
        <v/>
      </c>
      <c r="F18" s="237"/>
      <c r="G18" s="92">
        <f>_xlfn.XLOOKUP(ROW(G18)+1-ROW(G$13),報告用!$AK$4:$AK$37,報告用!$F$4:$F$37,"",FALSE)</f>
        <v>17</v>
      </c>
      <c r="H18" s="151" t="str">
        <f>_xlfn.XLOOKUP(ROW(H18)+1-ROW(H$13),報告用!$AK$4:$AK$37,報告用!$G$4:$G$37,"",FALSE)</f>
        <v>斎藤　潤一</v>
      </c>
      <c r="I18" s="95" t="str">
        <f>IF(_xlfn.XLOOKUP(ROW(I18)+1-ROW(I$13),報告用!$AK$4:$AK$37,報告用!$E$4:$E$37,"",FALSE)=G18,"",_xlfn.XLOOKUP(ROW(I18)+1-ROW(I$13),報告用!$AK$4:$AK$37,報告用!$E$4:$E$37,"",FALSE))</f>
        <v/>
      </c>
      <c r="J18" s="77"/>
      <c r="K18" s="237"/>
      <c r="L18" s="92">
        <f>_xlfn.XLOOKUP(ROW(L18)+1-ROW(L$13),報告用!$AL$4:$AL$37,報告用!$F$4:$F$37,"",FALSE)</f>
        <v>18</v>
      </c>
      <c r="M18" s="151" t="str">
        <f>_xlfn.XLOOKUP(ROW(M18)+1-ROW(M$13),報告用!$AL$4:$AL$37,報告用!$G$4:$G$37,"",FALSE)</f>
        <v>中澤　和江</v>
      </c>
      <c r="N18" s="95">
        <f>IF(_xlfn.XLOOKUP(ROW(N18)+1-ROW(N$13),報告用!$AL$4:$AL$37,報告用!$E$4:$E$37,"",FALSE)=L18,"",_xlfn.XLOOKUP(ROW(N18)+1-ROW(N$13),報告用!$AL$4:$AL$37,報告用!$E$4:$E$37,"",FALSE))</f>
        <v>17</v>
      </c>
      <c r="P18" s="237"/>
      <c r="Q18" s="92">
        <f>_xlfn.XLOOKUP(ROW(Q18)+1-ROW(Q$13),報告用!$AM$4:$AM$37,報告用!$F$4:$F$37,"",FALSE)</f>
        <v>17</v>
      </c>
      <c r="R18" s="151" t="str">
        <f>_xlfn.XLOOKUP(ROW(R18)+1-ROW(R$13),報告用!$AM$4:$AM$37,報告用!$G$4:$G$37,"",FALSE)</f>
        <v>斎藤　潤一</v>
      </c>
      <c r="S18" s="95" t="str">
        <f>IF(_xlfn.XLOOKUP(ROW(S18)+1-ROW(S$13),報告用!$AM$4:$AM$37,報告用!$E$4:$E$37,"",FALSE)=Q18,"",_xlfn.XLOOKUP(ROW(S18)+1-ROW(S$13),報告用!$AM$4:$AM$37,報告用!$E$4:$E$37,"",FALSE))</f>
        <v/>
      </c>
      <c r="U18" s="237"/>
      <c r="V18" s="92">
        <f>_xlfn.XLOOKUP(ROW(V18)+1-ROW(V$13),報告用!$AN$4:$AN$37,報告用!$F$4:$F$37,"",FALSE)</f>
        <v>18</v>
      </c>
      <c r="W18" s="151" t="str">
        <f>_xlfn.XLOOKUP(ROW(W18)+1-ROW(W$13),報告用!$AN$4:$AN$37,報告用!$G$4:$G$37,"",FALSE)</f>
        <v>中澤　和江</v>
      </c>
      <c r="X18" s="95">
        <f>IF(_xlfn.XLOOKUP(ROW(X18)+1-ROW(X$13),報告用!$AN$4:$AN$37,報告用!$E$4:$E$37,"",FALSE)=V18,"",_xlfn.XLOOKUP(ROW(X18)+1-ROW(X$13),報告用!$AN$4:$AN$37,報告用!$E$4:$E$37,"",FALSE))</f>
        <v>17</v>
      </c>
      <c r="Y18" s="77"/>
      <c r="Z18" s="237"/>
      <c r="AA18" s="92">
        <f>_xlfn.XLOOKUP(ROW(AA18)+1-ROW(AA$13),報告用!$AO$4:$AO$37,報告用!$F$4:$F$37,"",FALSE)</f>
        <v>17</v>
      </c>
      <c r="AB18" s="151" t="str">
        <f>_xlfn.XLOOKUP(ROW(AB18)+1-ROW(AB$13),報告用!$AO$4:$AO$37,報告用!$G$4:$G$37,"",FALSE)</f>
        <v>斎藤　潤一</v>
      </c>
      <c r="AC18" s="95" t="str">
        <f>IF(_xlfn.XLOOKUP(ROW(AC18)+1-ROW(AC$13),報告用!$AO$4:$AO$37,報告用!$E$4:$E$37,"",FALSE)=AA18,"",_xlfn.XLOOKUP(ROW(AC18)+1-ROW(AC$13),報告用!$AO$4:$AO$37,報告用!$E$4:$E$37,"",FALSE))</f>
        <v/>
      </c>
    </row>
    <row r="19" spans="1:29" ht="32.1" customHeight="1">
      <c r="A19" s="235"/>
      <c r="B19" s="92">
        <f>_xlfn.XLOOKUP(ROW(B19)+1-ROW(B$17),報告用!$AD$4:$AD$37,報告用!F$4:F$37,"",FALSE)</f>
        <v>17</v>
      </c>
      <c r="C19" s="151" t="str">
        <f>_xlfn.XLOOKUP(ROW(C19)+1-ROW(C$17),報告用!$AD$4:$AD$37,報告用!G$4:G$37,"",FALSE)</f>
        <v>小澤　俊治</v>
      </c>
      <c r="D19" s="95" t="str">
        <f>IF(_xlfn.XLOOKUP(ROW(D19)+1-ROW(D$17),報告用!$AD$4:$AD$37,報告用!E$4:E$37,"",FALSE)=B19,"",_xlfn.XLOOKUP(ROW(D19)+1-ROW(D$17),報告用!$AD$4:$AD$37,報告用!E$4:E$37,"",FALSE))</f>
        <v/>
      </c>
      <c r="F19" s="237"/>
      <c r="G19" s="92">
        <f>_xlfn.XLOOKUP(ROW(G19)+1-ROW(G$13),報告用!$AK$4:$AK$37,報告用!$F$4:$F$37,"",FALSE)</f>
        <v>18</v>
      </c>
      <c r="H19" s="151" t="str">
        <f>_xlfn.XLOOKUP(ROW(H19)+1-ROW(H$13),報告用!$AK$4:$AK$37,報告用!$G$4:$G$37,"",FALSE)</f>
        <v>中澤　和江</v>
      </c>
      <c r="I19" s="95">
        <f>IF(_xlfn.XLOOKUP(ROW(I19)+1-ROW(I$13),報告用!$AK$4:$AK$37,報告用!$E$4:$E$37,"",FALSE)=G19,"",_xlfn.XLOOKUP(ROW(I19)+1-ROW(I$13),報告用!$AK$4:$AK$37,報告用!$E$4:$E$37,"",FALSE))</f>
        <v>17</v>
      </c>
      <c r="J19" s="77"/>
      <c r="K19" s="237"/>
      <c r="L19" s="92">
        <f>_xlfn.XLOOKUP(ROW(L19)+1-ROW(L$13),報告用!$AL$4:$AL$37,報告用!$F$4:$F$37,"",FALSE)</f>
        <v>18</v>
      </c>
      <c r="M19" s="151" t="str">
        <f>_xlfn.XLOOKUP(ROW(M19)+1-ROW(M$13),報告用!$AL$4:$AL$37,報告用!$G$4:$G$37,"",FALSE)</f>
        <v>山本　たみ子</v>
      </c>
      <c r="N19" s="95" t="str">
        <f>IF(_xlfn.XLOOKUP(ROW(N19)+1-ROW(N$13),報告用!$AL$4:$AL$37,報告用!$E$4:$E$37,"",FALSE)=L19,"",_xlfn.XLOOKUP(ROW(N19)+1-ROW(N$13),報告用!$AL$4:$AL$37,報告用!$E$4:$E$37,"",FALSE))</f>
        <v/>
      </c>
      <c r="P19" s="237"/>
      <c r="Q19" s="92">
        <f>_xlfn.XLOOKUP(ROW(Q19)+1-ROW(Q$13),報告用!$AM$4:$AM$37,報告用!$F$4:$F$37,"",FALSE)</f>
        <v>18</v>
      </c>
      <c r="R19" s="151" t="str">
        <f>_xlfn.XLOOKUP(ROW(R19)+1-ROW(R$13),報告用!$AM$4:$AM$37,報告用!$G$4:$G$37,"",FALSE)</f>
        <v>中澤　和江</v>
      </c>
      <c r="S19" s="95">
        <f>IF(_xlfn.XLOOKUP(ROW(S19)+1-ROW(S$13),報告用!$AM$4:$AM$37,報告用!$E$4:$E$37,"",FALSE)=Q19,"",_xlfn.XLOOKUP(ROW(S19)+1-ROW(S$13),報告用!$AM$4:$AM$37,報告用!$E$4:$E$37,"",FALSE))</f>
        <v>17</v>
      </c>
      <c r="U19" s="237"/>
      <c r="V19" s="92">
        <f>_xlfn.XLOOKUP(ROW(V19)+1-ROW(V$13),報告用!$AN$4:$AN$37,報告用!$F$4:$F$37,"",FALSE)</f>
        <v>18</v>
      </c>
      <c r="W19" s="151" t="str">
        <f>_xlfn.XLOOKUP(ROW(W19)+1-ROW(W$13),報告用!$AN$4:$AN$37,報告用!$G$4:$G$37,"",FALSE)</f>
        <v>山本　たみ子</v>
      </c>
      <c r="X19" s="95" t="str">
        <f>IF(_xlfn.XLOOKUP(ROW(X19)+1-ROW(X$13),報告用!$AN$4:$AN$37,報告用!$E$4:$E$37,"",FALSE)=V19,"",_xlfn.XLOOKUP(ROW(X19)+1-ROW(X$13),報告用!$AN$4:$AN$37,報告用!$E$4:$E$37,"",FALSE))</f>
        <v/>
      </c>
      <c r="Y19" s="77"/>
      <c r="Z19" s="237"/>
      <c r="AA19" s="92">
        <f>_xlfn.XLOOKUP(ROW(AA19)+1-ROW(AA$13),報告用!$AO$4:$AO$37,報告用!$F$4:$F$37,"",FALSE)</f>
        <v>18</v>
      </c>
      <c r="AB19" s="151" t="str">
        <f>_xlfn.XLOOKUP(ROW(AB19)+1-ROW(AB$13),報告用!$AO$4:$AO$37,報告用!$G$4:$G$37,"",FALSE)</f>
        <v>中澤　和江</v>
      </c>
      <c r="AC19" s="95">
        <f>IF(_xlfn.XLOOKUP(ROW(AC19)+1-ROW(AC$13),報告用!$AO$4:$AO$37,報告用!$E$4:$E$37,"",FALSE)=AA19,"",_xlfn.XLOOKUP(ROW(AC19)+1-ROW(AC$13),報告用!$AO$4:$AO$37,報告用!$E$4:$E$37,"",FALSE))</f>
        <v>17</v>
      </c>
    </row>
    <row r="20" spans="1:29" ht="32.1" customHeight="1">
      <c r="A20" s="235"/>
      <c r="B20" s="92">
        <f>_xlfn.XLOOKUP(ROW(B20)+1-ROW(B$17),報告用!$AD$4:$AD$37,報告用!F$4:F$37,"",FALSE)</f>
        <v>21</v>
      </c>
      <c r="C20" s="151" t="str">
        <f>_xlfn.XLOOKUP(ROW(C20)+1-ROW(C$17),報告用!$AD$4:$AD$37,報告用!G$4:G$37,"",FALSE)</f>
        <v>土田　茂</v>
      </c>
      <c r="D20" s="95" t="str">
        <f>IF(_xlfn.XLOOKUP(ROW(D20)+1-ROW(D$17),報告用!$AD$4:$AD$37,報告用!E$4:E$37,"",FALSE)=B20,"",_xlfn.XLOOKUP(ROW(D20)+1-ROW(D$17),報告用!$AD$4:$AD$37,報告用!E$4:E$37,"",FALSE))</f>
        <v/>
      </c>
      <c r="F20" s="237"/>
      <c r="G20" s="92">
        <f>_xlfn.XLOOKUP(ROW(G20)+1-ROW(G$13),報告用!$AK$4:$AK$37,報告用!$F$4:$F$37,"",FALSE)</f>
        <v>18</v>
      </c>
      <c r="H20" s="151" t="str">
        <f>_xlfn.XLOOKUP(ROW(H20)+1-ROW(H$13),報告用!$AK$4:$AK$37,報告用!$G$4:$G$37,"",FALSE)</f>
        <v>深味　照子</v>
      </c>
      <c r="I20" s="95" t="str">
        <f>IF(_xlfn.XLOOKUP(ROW(I20)+1-ROW(I$13),報告用!$AK$4:$AK$37,報告用!$E$4:$E$37,"",FALSE)=G20,"",_xlfn.XLOOKUP(ROW(I20)+1-ROW(I$13),報告用!$AK$4:$AK$37,報告用!$E$4:$E$37,"",FALSE))</f>
        <v/>
      </c>
      <c r="J20" s="77"/>
      <c r="K20" s="237"/>
      <c r="L20" s="92">
        <f>_xlfn.XLOOKUP(ROW(L20)+1-ROW(L$13),報告用!$AL$4:$AL$37,報告用!$F$4:$F$37,"",FALSE)</f>
        <v>20</v>
      </c>
      <c r="M20" s="151" t="str">
        <f>_xlfn.XLOOKUP(ROW(M20)+1-ROW(M$13),報告用!$AL$4:$AL$37,報告用!$G$4:$G$37,"",FALSE)</f>
        <v>小口　千穂</v>
      </c>
      <c r="N20" s="95" t="str">
        <f>IF(_xlfn.XLOOKUP(ROW(N20)+1-ROW(N$13),報告用!$AL$4:$AL$37,報告用!$E$4:$E$37,"",FALSE)=L20,"",_xlfn.XLOOKUP(ROW(N20)+1-ROW(N$13),報告用!$AL$4:$AL$37,報告用!$E$4:$E$37,"",FALSE))</f>
        <v/>
      </c>
      <c r="P20" s="237"/>
      <c r="Q20" s="92">
        <f>_xlfn.XLOOKUP(ROW(Q20)+1-ROW(Q$13),報告用!$AM$4:$AM$37,報告用!$F$4:$F$37,"",FALSE)</f>
        <v>18</v>
      </c>
      <c r="R20" s="151" t="str">
        <f>_xlfn.XLOOKUP(ROW(R20)+1-ROW(R$13),報告用!$AM$4:$AM$37,報告用!$G$4:$G$37,"",FALSE)</f>
        <v>山本　たみ子</v>
      </c>
      <c r="S20" s="95" t="str">
        <f>IF(_xlfn.XLOOKUP(ROW(S20)+1-ROW(S$13),報告用!$AM$4:$AM$37,報告用!$E$4:$E$37,"",FALSE)=Q20,"",_xlfn.XLOOKUP(ROW(S20)+1-ROW(S$13),報告用!$AM$4:$AM$37,報告用!$E$4:$E$37,"",FALSE))</f>
        <v/>
      </c>
      <c r="U20" s="237"/>
      <c r="V20" s="92">
        <f>_xlfn.XLOOKUP(ROW(V20)+1-ROW(V$13),報告用!$AN$4:$AN$37,報告用!$F$4:$F$37,"",FALSE)</f>
        <v>20</v>
      </c>
      <c r="W20" s="151" t="str">
        <f>_xlfn.XLOOKUP(ROW(W20)+1-ROW(W$13),報告用!$AN$4:$AN$37,報告用!$G$4:$G$37,"",FALSE)</f>
        <v>小口　千穂</v>
      </c>
      <c r="X20" s="95" t="str">
        <f>IF(_xlfn.XLOOKUP(ROW(X20)+1-ROW(X$13),報告用!$AN$4:$AN$37,報告用!$E$4:$E$37,"",FALSE)=V20,"",_xlfn.XLOOKUP(ROW(X20)+1-ROW(X$13),報告用!$AN$4:$AN$37,報告用!$E$4:$E$37,"",FALSE))</f>
        <v/>
      </c>
      <c r="Y20" s="77"/>
      <c r="Z20" s="237"/>
      <c r="AA20" s="92">
        <f>_xlfn.XLOOKUP(ROW(AA20)+1-ROW(AA$13),報告用!$AO$4:$AO$37,報告用!$F$4:$F$37,"",FALSE)</f>
        <v>18</v>
      </c>
      <c r="AB20" s="151" t="str">
        <f>_xlfn.XLOOKUP(ROW(AB20)+1-ROW(AB$13),報告用!$AO$4:$AO$37,報告用!$G$4:$G$37,"",FALSE)</f>
        <v>深味　照子</v>
      </c>
      <c r="AC20" s="95" t="str">
        <f>IF(_xlfn.XLOOKUP(ROW(AC20)+1-ROW(AC$13),報告用!$AO$4:$AO$37,報告用!$E$4:$E$37,"",FALSE)=AA20,"",_xlfn.XLOOKUP(ROW(AC20)+1-ROW(AC$13),報告用!$AO$4:$AO$37,報告用!$E$4:$E$37,"",FALSE))</f>
        <v/>
      </c>
    </row>
    <row r="21" spans="1:29" ht="32.1" customHeight="1">
      <c r="A21" s="235"/>
      <c r="B21" s="92" t="str">
        <f>_xlfn.XLOOKUP(ROW(B21)+1-ROW(B$17),報告用!$AD$4:$AD$37,報告用!F$4:F$37,"",FALSE)</f>
        <v/>
      </c>
      <c r="C21" s="151" t="str">
        <f>_xlfn.XLOOKUP(ROW(C21)+1-ROW(C$17),報告用!$AD$4:$AD$37,報告用!G$4:G$37,"",FALSE)</f>
        <v/>
      </c>
      <c r="D21" s="95" t="str">
        <f>IF(_xlfn.XLOOKUP(ROW(D21)+1-ROW(D$17),報告用!$AD$4:$AD$37,報告用!E$4:E$37,"",FALSE)=B21,"",_xlfn.XLOOKUP(ROW(D21)+1-ROW(D$17),報告用!$AD$4:$AD$37,報告用!E$4:E$37,"",FALSE))</f>
        <v/>
      </c>
      <c r="F21" s="237"/>
      <c r="G21" s="92">
        <f>_xlfn.XLOOKUP(ROW(G21)+1-ROW(G$13),報告用!$AK$4:$AK$37,報告用!$F$4:$F$37,"",FALSE)</f>
        <v>18</v>
      </c>
      <c r="H21" s="151" t="str">
        <f>_xlfn.XLOOKUP(ROW(H21)+1-ROW(H$13),報告用!$AK$4:$AK$37,報告用!$G$4:$G$37,"",FALSE)</f>
        <v>山本　たみ子</v>
      </c>
      <c r="I21" s="95" t="str">
        <f>IF(_xlfn.XLOOKUP(ROW(I21)+1-ROW(I$13),報告用!$AK$4:$AK$37,報告用!$E$4:$E$37,"",FALSE)=G21,"",_xlfn.XLOOKUP(ROW(I21)+1-ROW(I$13),報告用!$AK$4:$AK$37,報告用!$E$4:$E$37,"",FALSE))</f>
        <v/>
      </c>
      <c r="J21" s="77"/>
      <c r="K21" s="237"/>
      <c r="L21" s="92">
        <f>_xlfn.XLOOKUP(ROW(L21)+1-ROW(L$13),報告用!$AL$4:$AL$37,報告用!$F$4:$F$37,"",FALSE)</f>
        <v>20</v>
      </c>
      <c r="M21" s="151" t="str">
        <f>_xlfn.XLOOKUP(ROW(M21)+1-ROW(M$13),報告用!$AL$4:$AL$37,報告用!$G$4:$G$37,"",FALSE)</f>
        <v>堀内　竹子</v>
      </c>
      <c r="N21" s="95" t="str">
        <f>IF(_xlfn.XLOOKUP(ROW(N21)+1-ROW(N$13),報告用!$AL$4:$AL$37,報告用!$E$4:$E$37,"",FALSE)=L21,"",_xlfn.XLOOKUP(ROW(N21)+1-ROW(N$13),報告用!$AL$4:$AL$37,報告用!$E$4:$E$37,"",FALSE))</f>
        <v/>
      </c>
      <c r="P21" s="237"/>
      <c r="Q21" s="92">
        <f>_xlfn.XLOOKUP(ROW(Q21)+1-ROW(Q$13),報告用!$AM$4:$AM$37,報告用!$F$4:$F$37,"",FALSE)</f>
        <v>20</v>
      </c>
      <c r="R21" s="151" t="str">
        <f>_xlfn.XLOOKUP(ROW(R21)+1-ROW(R$13),報告用!$AM$4:$AM$37,報告用!$G$4:$G$37,"",FALSE)</f>
        <v>小口　千穂</v>
      </c>
      <c r="S21" s="95" t="str">
        <f>IF(_xlfn.XLOOKUP(ROW(S21)+1-ROW(S$13),報告用!$AM$4:$AM$37,報告用!$E$4:$E$37,"",FALSE)=Q21,"",_xlfn.XLOOKUP(ROW(S21)+1-ROW(S$13),報告用!$AM$4:$AM$37,報告用!$E$4:$E$37,"",FALSE))</f>
        <v/>
      </c>
      <c r="U21" s="237"/>
      <c r="V21" s="92">
        <f>_xlfn.XLOOKUP(ROW(V21)+1-ROW(V$13),報告用!$AN$4:$AN$37,報告用!$F$4:$F$37,"",FALSE)</f>
        <v>20</v>
      </c>
      <c r="W21" s="151" t="str">
        <f>_xlfn.XLOOKUP(ROW(W21)+1-ROW(W$13),報告用!$AN$4:$AN$37,報告用!$G$4:$G$37,"",FALSE)</f>
        <v>堀内　竹子</v>
      </c>
      <c r="X21" s="95" t="str">
        <f>IF(_xlfn.XLOOKUP(ROW(X21)+1-ROW(X$13),報告用!$AN$4:$AN$37,報告用!$E$4:$E$37,"",FALSE)=V21,"",_xlfn.XLOOKUP(ROW(X21)+1-ROW(X$13),報告用!$AN$4:$AN$37,報告用!$E$4:$E$37,"",FALSE))</f>
        <v/>
      </c>
      <c r="Y21" s="77"/>
      <c r="Z21" s="237"/>
      <c r="AA21" s="92">
        <f>_xlfn.XLOOKUP(ROW(AA21)+1-ROW(AA$13),報告用!$AO$4:$AO$37,報告用!$F$4:$F$37,"",FALSE)</f>
        <v>18</v>
      </c>
      <c r="AB21" s="151" t="str">
        <f>_xlfn.XLOOKUP(ROW(AB21)+1-ROW(AB$13),報告用!$AO$4:$AO$37,報告用!$G$4:$G$37,"",FALSE)</f>
        <v>山本　たみ子</v>
      </c>
      <c r="AC21" s="95" t="str">
        <f>IF(_xlfn.XLOOKUP(ROW(AC21)+1-ROW(AC$13),報告用!$AO$4:$AO$37,報告用!$E$4:$E$37,"",FALSE)=AA21,"",_xlfn.XLOOKUP(ROW(AC21)+1-ROW(AC$13),報告用!$AO$4:$AO$37,報告用!$E$4:$E$37,"",FALSE))</f>
        <v/>
      </c>
    </row>
    <row r="22" spans="1:29" ht="32.1" customHeight="1">
      <c r="A22" s="235"/>
      <c r="B22" s="92" t="str">
        <f>_xlfn.XLOOKUP(ROW(B22)+1-ROW(B$17),報告用!$AD$4:$AD$37,報告用!F$4:F$37,"",FALSE)</f>
        <v/>
      </c>
      <c r="C22" s="151" t="str">
        <f>_xlfn.XLOOKUP(ROW(C22)+1-ROW(C$17),報告用!$AD$4:$AD$37,報告用!G$4:G$37,"",FALSE)</f>
        <v/>
      </c>
      <c r="D22" s="95" t="str">
        <f>IF(_xlfn.XLOOKUP(ROW(D22)+1-ROW(D$17),報告用!$AD$4:$AD$37,報告用!E$4:E$37,"",FALSE)=B22,"",_xlfn.XLOOKUP(ROW(D22)+1-ROW(D$17),報告用!$AD$4:$AD$37,報告用!E$4:E$37,"",FALSE))</f>
        <v/>
      </c>
      <c r="F22" s="237"/>
      <c r="G22" s="92">
        <f>_xlfn.XLOOKUP(ROW(G22)+1-ROW(G$13),報告用!$AK$4:$AK$37,報告用!$F$4:$F$37,"",FALSE)</f>
        <v>20</v>
      </c>
      <c r="H22" s="151" t="str">
        <f>_xlfn.XLOOKUP(ROW(H22)+1-ROW(H$13),報告用!$AK$4:$AK$37,報告用!$G$4:$G$37,"",FALSE)</f>
        <v>小口　千穂</v>
      </c>
      <c r="I22" s="95" t="str">
        <f>IF(_xlfn.XLOOKUP(ROW(I22)+1-ROW(I$13),報告用!$AK$4:$AK$37,報告用!$E$4:$E$37,"",FALSE)=G22,"",_xlfn.XLOOKUP(ROW(I22)+1-ROW(I$13),報告用!$AK$4:$AK$37,報告用!$E$4:$E$37,"",FALSE))</f>
        <v/>
      </c>
      <c r="J22" s="77"/>
      <c r="K22" s="237"/>
      <c r="L22" s="92">
        <f>_xlfn.XLOOKUP(ROW(L22)+1-ROW(L$13),報告用!$AL$4:$AL$37,報告用!$F$4:$F$37,"",FALSE)</f>
        <v>21</v>
      </c>
      <c r="M22" s="151" t="str">
        <f>_xlfn.XLOOKUP(ROW(M22)+1-ROW(M$13),報告用!$AL$4:$AL$37,報告用!$G$4:$G$37,"",FALSE)</f>
        <v>小林　國光</v>
      </c>
      <c r="N22" s="95">
        <f>IF(_xlfn.XLOOKUP(ROW(N22)+1-ROW(N$13),報告用!$AL$4:$AL$37,報告用!$E$4:$E$37,"",FALSE)=L22,"",_xlfn.XLOOKUP(ROW(N22)+1-ROW(N$13),報告用!$AL$4:$AL$37,報告用!$E$4:$E$37,"",FALSE))</f>
        <v>17</v>
      </c>
      <c r="P22" s="237"/>
      <c r="Q22" s="92">
        <f>_xlfn.XLOOKUP(ROW(Q22)+1-ROW(Q$13),報告用!$AM$4:$AM$37,報告用!$F$4:$F$37,"",FALSE)</f>
        <v>20</v>
      </c>
      <c r="R22" s="151" t="str">
        <f>_xlfn.XLOOKUP(ROW(R22)+1-ROW(R$13),報告用!$AM$4:$AM$37,報告用!$G$4:$G$37,"",FALSE)</f>
        <v>堀内　竹子</v>
      </c>
      <c r="S22" s="95" t="str">
        <f>IF(_xlfn.XLOOKUP(ROW(S22)+1-ROW(S$13),報告用!$AM$4:$AM$37,報告用!$E$4:$E$37,"",FALSE)=Q22,"",_xlfn.XLOOKUP(ROW(S22)+1-ROW(S$13),報告用!$AM$4:$AM$37,報告用!$E$4:$E$37,"",FALSE))</f>
        <v/>
      </c>
      <c r="U22" s="237"/>
      <c r="V22" s="92">
        <f>_xlfn.XLOOKUP(ROW(V22)+1-ROW(V$13),報告用!$AN$4:$AN$37,報告用!$F$4:$F$37,"",FALSE)</f>
        <v>21</v>
      </c>
      <c r="W22" s="151" t="str">
        <f>_xlfn.XLOOKUP(ROW(W22)+1-ROW(W$13),報告用!$AN$4:$AN$37,報告用!$G$4:$G$37,"",FALSE)</f>
        <v>小林　國光</v>
      </c>
      <c r="X22" s="95">
        <f>IF(_xlfn.XLOOKUP(ROW(X22)+1-ROW(X$13),報告用!$AN$4:$AN$37,報告用!$E$4:$E$37,"",FALSE)=V22,"",_xlfn.XLOOKUP(ROW(X22)+1-ROW(X$13),報告用!$AN$4:$AN$37,報告用!$E$4:$E$37,"",FALSE))</f>
        <v>17</v>
      </c>
      <c r="Y22" s="77"/>
      <c r="Z22" s="237"/>
      <c r="AA22" s="92">
        <f>_xlfn.XLOOKUP(ROW(AA22)+1-ROW(AA$13),報告用!$AO$4:$AO$37,報告用!$F$4:$F$37,"",FALSE)</f>
        <v>20</v>
      </c>
      <c r="AB22" s="151" t="str">
        <f>_xlfn.XLOOKUP(ROW(AB22)+1-ROW(AB$13),報告用!$AO$4:$AO$37,報告用!$G$4:$G$37,"",FALSE)</f>
        <v>小口　千穂</v>
      </c>
      <c r="AC22" s="95" t="str">
        <f>IF(_xlfn.XLOOKUP(ROW(AC22)+1-ROW(AC$13),報告用!$AO$4:$AO$37,報告用!$E$4:$E$37,"",FALSE)=AA22,"",_xlfn.XLOOKUP(ROW(AC22)+1-ROW(AC$13),報告用!$AO$4:$AO$37,報告用!$E$4:$E$37,"",FALSE))</f>
        <v/>
      </c>
    </row>
    <row r="23" spans="1:29" ht="32.1" customHeight="1">
      <c r="A23" s="235"/>
      <c r="B23" s="92" t="str">
        <f>_xlfn.XLOOKUP(ROW(B23)+1-ROW(B$17),報告用!$AD$4:$AD$37,報告用!F$4:F$37,"",FALSE)</f>
        <v/>
      </c>
      <c r="C23" s="151" t="str">
        <f>_xlfn.XLOOKUP(ROW(C23)+1-ROW(C$17),報告用!$AD$4:$AD$37,報告用!G$4:G$37,"",FALSE)</f>
        <v/>
      </c>
      <c r="D23" s="95" t="str">
        <f>IF(_xlfn.XLOOKUP(ROW(D23)+1-ROW(D$17),報告用!$AD$4:$AD$37,報告用!E$4:E$37,"",FALSE)=B23,"",_xlfn.XLOOKUP(ROW(D23)+1-ROW(D$17),報告用!$AD$4:$AD$37,報告用!E$4:E$37,"",FALSE))</f>
        <v/>
      </c>
      <c r="F23" s="237"/>
      <c r="G23" s="92">
        <f>_xlfn.XLOOKUP(ROW(G23)+1-ROW(G$13),報告用!$AK$4:$AK$37,報告用!$F$4:$F$37,"",FALSE)</f>
        <v>20</v>
      </c>
      <c r="H23" s="151" t="str">
        <f>_xlfn.XLOOKUP(ROW(H23)+1-ROW(H$13),報告用!$AK$4:$AK$37,報告用!$G$4:$G$37,"",FALSE)</f>
        <v>堀内　竹子</v>
      </c>
      <c r="I23" s="95" t="str">
        <f>IF(_xlfn.XLOOKUP(ROW(I23)+1-ROW(I$13),報告用!$AK$4:$AK$37,報告用!$E$4:$E$37,"",FALSE)=G23,"",_xlfn.XLOOKUP(ROW(I23)+1-ROW(I$13),報告用!$AK$4:$AK$37,報告用!$E$4:$E$37,"",FALSE))</f>
        <v/>
      </c>
      <c r="J23" s="77"/>
      <c r="K23" s="237"/>
      <c r="L23" s="92">
        <f>_xlfn.XLOOKUP(ROW(L23)+1-ROW(L$13),報告用!$AL$4:$AL$37,報告用!$F$4:$F$37,"",FALSE)</f>
        <v>21</v>
      </c>
      <c r="M23" s="151" t="str">
        <f>_xlfn.XLOOKUP(ROW(M23)+1-ROW(M$13),報告用!$AL$4:$AL$37,報告用!$G$4:$G$37,"",FALSE)</f>
        <v>土田　茂</v>
      </c>
      <c r="N23" s="95" t="str">
        <f>IF(_xlfn.XLOOKUP(ROW(N23)+1-ROW(N$13),報告用!$AL$4:$AL$37,報告用!$E$4:$E$37,"",FALSE)=L23,"",_xlfn.XLOOKUP(ROW(N23)+1-ROW(N$13),報告用!$AL$4:$AL$37,報告用!$E$4:$E$37,"",FALSE))</f>
        <v/>
      </c>
      <c r="P23" s="237"/>
      <c r="Q23" s="92">
        <f>_xlfn.XLOOKUP(ROW(Q23)+1-ROW(Q$13),報告用!$AM$4:$AM$37,報告用!$F$4:$F$37,"",FALSE)</f>
        <v>21</v>
      </c>
      <c r="R23" s="151" t="str">
        <f>_xlfn.XLOOKUP(ROW(R23)+1-ROW(R$13),報告用!$AM$4:$AM$37,報告用!$G$4:$G$37,"",FALSE)</f>
        <v>小林　國光</v>
      </c>
      <c r="S23" s="95">
        <f>IF(_xlfn.XLOOKUP(ROW(S23)+1-ROW(S$13),報告用!$AM$4:$AM$37,報告用!$E$4:$E$37,"",FALSE)=Q23,"",_xlfn.XLOOKUP(ROW(S23)+1-ROW(S$13),報告用!$AM$4:$AM$37,報告用!$E$4:$E$37,"",FALSE))</f>
        <v>17</v>
      </c>
      <c r="U23" s="237"/>
      <c r="V23" s="92">
        <f>_xlfn.XLOOKUP(ROW(V23)+1-ROW(V$13),報告用!$AN$4:$AN$37,報告用!$F$4:$F$37,"",FALSE)</f>
        <v>21</v>
      </c>
      <c r="W23" s="151" t="str">
        <f>_xlfn.XLOOKUP(ROW(W23)+1-ROW(W$13),報告用!$AN$4:$AN$37,報告用!$G$4:$G$37,"",FALSE)</f>
        <v>土田　茂</v>
      </c>
      <c r="X23" s="95" t="str">
        <f>IF(_xlfn.XLOOKUP(ROW(X23)+1-ROW(X$13),報告用!$AN$4:$AN$37,報告用!$E$4:$E$37,"",FALSE)=V23,"",_xlfn.XLOOKUP(ROW(X23)+1-ROW(X$13),報告用!$AN$4:$AN$37,報告用!$E$4:$E$37,"",FALSE))</f>
        <v/>
      </c>
      <c r="Y23" s="77"/>
      <c r="Z23" s="237"/>
      <c r="AA23" s="92">
        <f>_xlfn.XLOOKUP(ROW(AA23)+1-ROW(AA$13),報告用!$AO$4:$AO$37,報告用!$F$4:$F$37,"",FALSE)</f>
        <v>20</v>
      </c>
      <c r="AB23" s="151" t="str">
        <f>_xlfn.XLOOKUP(ROW(AB23)+1-ROW(AB$13),報告用!$AO$4:$AO$37,報告用!$G$4:$G$37,"",FALSE)</f>
        <v>堀内　竹子</v>
      </c>
      <c r="AC23" s="95" t="str">
        <f>IF(_xlfn.XLOOKUP(ROW(AC23)+1-ROW(AC$13),報告用!$AO$4:$AO$37,報告用!$E$4:$E$37,"",FALSE)=AA23,"",_xlfn.XLOOKUP(ROW(AC23)+1-ROW(AC$13),報告用!$AO$4:$AO$37,報告用!$E$4:$E$37,"",FALSE))</f>
        <v/>
      </c>
    </row>
    <row r="24" spans="1:29" ht="32.1" customHeight="1" thickBot="1">
      <c r="A24" s="230"/>
      <c r="B24" s="152" t="str">
        <f>_xlfn.XLOOKUP(ROW(B24)+1-ROW(B$17),報告用!$AD$4:$AD$37,報告用!F$4:F$37,"",FALSE)</f>
        <v/>
      </c>
      <c r="C24" s="153" t="str">
        <f>_xlfn.XLOOKUP(ROW(C24)+1-ROW(C$17),報告用!$AD$4:$AD$37,報告用!G$4:G$37,"",FALSE)</f>
        <v/>
      </c>
      <c r="D24" s="154" t="str">
        <f>IF(_xlfn.XLOOKUP(ROW(D24)+1-ROW(D$17),報告用!$AD$4:$AD$37,報告用!E$4:E$37,"",FALSE)=B24,"",_xlfn.XLOOKUP(ROW(D24)+1-ROW(D$17),報告用!$AD$4:$AD$37,報告用!E$4:E$37,"",FALSE))</f>
        <v/>
      </c>
      <c r="F24" s="237"/>
      <c r="G24" s="92">
        <f>_xlfn.XLOOKUP(ROW(G24)+1-ROW(G$13),報告用!$AK$4:$AK$37,報告用!$F$4:$F$37,"",FALSE)</f>
        <v>21</v>
      </c>
      <c r="H24" s="151" t="str">
        <f>_xlfn.XLOOKUP(ROW(H24)+1-ROW(H$13),報告用!$AK$4:$AK$37,報告用!$G$4:$G$37,"",FALSE)</f>
        <v>小林　國光</v>
      </c>
      <c r="I24" s="95">
        <f>IF(_xlfn.XLOOKUP(ROW(I24)+1-ROW(I$13),報告用!$AK$4:$AK$37,報告用!$E$4:$E$37,"",FALSE)=G24,"",_xlfn.XLOOKUP(ROW(I24)+1-ROW(I$13),報告用!$AK$4:$AK$37,報告用!$E$4:$E$37,"",FALSE))</f>
        <v>17</v>
      </c>
      <c r="J24" s="77"/>
      <c r="K24" s="237"/>
      <c r="L24" s="92">
        <f>_xlfn.XLOOKUP(ROW(L24)+1-ROW(L$13),報告用!$AL$4:$AL$37,報告用!$F$4:$F$37,"",FALSE)</f>
        <v>21</v>
      </c>
      <c r="M24" s="151" t="str">
        <f>_xlfn.XLOOKUP(ROW(M24)+1-ROW(M$13),報告用!$AL$4:$AL$37,報告用!$G$4:$G$37,"",FALSE)</f>
        <v>加納　鉄也</v>
      </c>
      <c r="N24" s="95">
        <f>IF(_xlfn.XLOOKUP(ROW(N24)+1-ROW(N$13),報告用!$AL$4:$AL$37,報告用!$E$4:$E$37,"",FALSE)=L24,"",_xlfn.XLOOKUP(ROW(N24)+1-ROW(N$13),報告用!$AL$4:$AL$37,報告用!$E$4:$E$37,"",FALSE))</f>
        <v>16</v>
      </c>
      <c r="P24" s="237"/>
      <c r="Q24" s="92">
        <f>_xlfn.XLOOKUP(ROW(Q24)+1-ROW(Q$13),報告用!$AM$4:$AM$37,報告用!$F$4:$F$37,"",FALSE)</f>
        <v>21</v>
      </c>
      <c r="R24" s="151" t="str">
        <f>_xlfn.XLOOKUP(ROW(R24)+1-ROW(R$13),報告用!$AM$4:$AM$37,報告用!$G$4:$G$37,"",FALSE)</f>
        <v>土田　茂</v>
      </c>
      <c r="S24" s="95" t="str">
        <f>IF(_xlfn.XLOOKUP(ROW(S24)+1-ROW(S$13),報告用!$AM$4:$AM$37,報告用!$E$4:$E$37,"",FALSE)=Q24,"",_xlfn.XLOOKUP(ROW(S24)+1-ROW(S$13),報告用!$AM$4:$AM$37,報告用!$E$4:$E$37,"",FALSE))</f>
        <v/>
      </c>
      <c r="U24" s="237"/>
      <c r="V24" s="92">
        <f>_xlfn.XLOOKUP(ROW(V24)+1-ROW(V$13),報告用!$AN$4:$AN$37,報告用!$F$4:$F$37,"",FALSE)</f>
        <v>21</v>
      </c>
      <c r="W24" s="151" t="str">
        <f>_xlfn.XLOOKUP(ROW(W24)+1-ROW(W$13),報告用!$AN$4:$AN$37,報告用!$G$4:$G$37,"",FALSE)</f>
        <v>加納　鉄也</v>
      </c>
      <c r="X24" s="95">
        <f>IF(_xlfn.XLOOKUP(ROW(X24)+1-ROW(X$13),報告用!$AN$4:$AN$37,報告用!$E$4:$E$37,"",FALSE)=V24,"",_xlfn.XLOOKUP(ROW(X24)+1-ROW(X$13),報告用!$AN$4:$AN$37,報告用!$E$4:$E$37,"",FALSE))</f>
        <v>16</v>
      </c>
      <c r="Y24" s="77"/>
      <c r="Z24" s="237"/>
      <c r="AA24" s="92">
        <f>_xlfn.XLOOKUP(ROW(AA24)+1-ROW(AA$13),報告用!$AO$4:$AO$37,報告用!$F$4:$F$37,"",FALSE)</f>
        <v>21</v>
      </c>
      <c r="AB24" s="151" t="str">
        <f>_xlfn.XLOOKUP(ROW(AB24)+1-ROW(AB$13),報告用!$AO$4:$AO$37,報告用!$G$4:$G$37,"",FALSE)</f>
        <v>小林　國光</v>
      </c>
      <c r="AC24" s="95">
        <f>IF(_xlfn.XLOOKUP(ROW(AC24)+1-ROW(AC$13),報告用!$AO$4:$AO$37,報告用!$E$4:$E$37,"",FALSE)=AA24,"",_xlfn.XLOOKUP(ROW(AC24)+1-ROW(AC$13),報告用!$AO$4:$AO$37,報告用!$E$4:$E$37,"",FALSE))</f>
        <v>17</v>
      </c>
    </row>
    <row r="25" spans="1:29" ht="32.1" customHeight="1" thickTop="1">
      <c r="A25" s="242" t="s">
        <v>108</v>
      </c>
      <c r="B25" s="92" t="str">
        <f>_xlfn.XLOOKUP(ROW(B25)+1-ROW(B$25),報告用!$AE$4:$AE$37,報告用!F$4:F$37,"",FALSE)</f>
        <v/>
      </c>
      <c r="C25" s="151" t="str">
        <f>_xlfn.XLOOKUP(ROW(C25)+1-ROW(C$25),報告用!$AE$4:$AE$37,報告用!G$4:G$37,"",FALSE)</f>
        <v/>
      </c>
      <c r="D25" s="95" t="str">
        <f>IF(_xlfn.XLOOKUP(ROW(D25)+1-ROW(D$25),報告用!$AE$4:$AE$37,報告用!E$4:E$37,"",FALSE)=B25,"",_xlfn.XLOOKUP(ROW(D25)-ROW(D$16),報告用!$AE$4:$AE$37,報告用!E$4:E$37,"",FALSE))</f>
        <v/>
      </c>
      <c r="F25" s="237"/>
      <c r="G25" s="92">
        <f>_xlfn.XLOOKUP(ROW(G25)+1-ROW(G$13),報告用!$AK$4:$AK$37,報告用!$F$4:$F$37,"",FALSE)</f>
        <v>21</v>
      </c>
      <c r="H25" s="151" t="str">
        <f>_xlfn.XLOOKUP(ROW(H25)+1-ROW(H$13),報告用!$AK$4:$AK$37,報告用!$G$4:$G$37,"",FALSE)</f>
        <v>土田　茂</v>
      </c>
      <c r="I25" s="95" t="str">
        <f>IF(_xlfn.XLOOKUP(ROW(I25)+1-ROW(I$13),報告用!$AK$4:$AK$37,報告用!$E$4:$E$37,"",FALSE)=G25,"",_xlfn.XLOOKUP(ROW(I25)+1-ROW(I$13),報告用!$AK$4:$AK$37,報告用!$E$4:$E$37,"",FALSE))</f>
        <v/>
      </c>
      <c r="J25" s="77"/>
      <c r="K25" s="237"/>
      <c r="L25" s="92">
        <f>_xlfn.XLOOKUP(ROW(L25)+1-ROW(L$13),報告用!$AL$4:$AL$37,報告用!$F$4:$F$37,"",FALSE)</f>
        <v>22</v>
      </c>
      <c r="M25" s="151" t="str">
        <f>_xlfn.XLOOKUP(ROW(M25)+1-ROW(M$13),報告用!$AL$4:$AL$37,報告用!$G$4:$G$37,"",FALSE)</f>
        <v>小林　慶子</v>
      </c>
      <c r="N25" s="95" t="str">
        <f>IF(_xlfn.XLOOKUP(ROW(N25)+1-ROW(N$13),報告用!$AL$4:$AL$37,報告用!$E$4:$E$37,"",FALSE)=L25,"",_xlfn.XLOOKUP(ROW(N25)+1-ROW(N$13),報告用!$AL$4:$AL$37,報告用!$E$4:$E$37,"",FALSE))</f>
        <v/>
      </c>
      <c r="P25" s="237"/>
      <c r="Q25" s="92">
        <f>_xlfn.XLOOKUP(ROW(Q25)+1-ROW(Q$13),報告用!$AM$4:$AM$37,報告用!$F$4:$F$37,"",FALSE)</f>
        <v>21</v>
      </c>
      <c r="R25" s="151" t="str">
        <f>_xlfn.XLOOKUP(ROW(R25)+1-ROW(R$13),報告用!$AM$4:$AM$37,報告用!$G$4:$G$37,"",FALSE)</f>
        <v>加納　鉄也</v>
      </c>
      <c r="S25" s="95">
        <f>IF(_xlfn.XLOOKUP(ROW(S25)+1-ROW(S$13),報告用!$AM$4:$AM$37,報告用!$E$4:$E$37,"",FALSE)=Q25,"",_xlfn.XLOOKUP(ROW(S25)+1-ROW(S$13),報告用!$AM$4:$AM$37,報告用!$E$4:$E$37,"",FALSE))</f>
        <v>16</v>
      </c>
      <c r="U25" s="237"/>
      <c r="V25" s="92">
        <f>_xlfn.XLOOKUP(ROW(V25)+1-ROW(V$13),報告用!$AN$4:$AN$37,報告用!$F$4:$F$37,"",FALSE)</f>
        <v>22</v>
      </c>
      <c r="W25" s="151" t="str">
        <f>_xlfn.XLOOKUP(ROW(W25)+1-ROW(W$13),報告用!$AN$4:$AN$37,報告用!$G$4:$G$37,"",FALSE)</f>
        <v>小林　慶子</v>
      </c>
      <c r="X25" s="95" t="str">
        <f>IF(_xlfn.XLOOKUP(ROW(X25)+1-ROW(X$13),報告用!$AN$4:$AN$37,報告用!$E$4:$E$37,"",FALSE)=V25,"",_xlfn.XLOOKUP(ROW(X25)+1-ROW(X$13),報告用!$AN$4:$AN$37,報告用!$E$4:$E$37,"",FALSE))</f>
        <v/>
      </c>
      <c r="Y25" s="77"/>
      <c r="Z25" s="237"/>
      <c r="AA25" s="92">
        <f>_xlfn.XLOOKUP(ROW(AA25)+1-ROW(AA$13),報告用!$AO$4:$AO$37,報告用!$F$4:$F$37,"",FALSE)</f>
        <v>21</v>
      </c>
      <c r="AB25" s="151" t="str">
        <f>_xlfn.XLOOKUP(ROW(AB25)+1-ROW(AB$13),報告用!$AO$4:$AO$37,報告用!$G$4:$G$37,"",FALSE)</f>
        <v>土田　茂</v>
      </c>
      <c r="AC25" s="95" t="str">
        <f>IF(_xlfn.XLOOKUP(ROW(AC25)+1-ROW(AC$13),報告用!$AO$4:$AO$37,報告用!$E$4:$E$37,"",FALSE)=AA25,"",_xlfn.XLOOKUP(ROW(AC25)+1-ROW(AC$13),報告用!$AO$4:$AO$37,報告用!$E$4:$E$37,"",FALSE))</f>
        <v/>
      </c>
    </row>
    <row r="26" spans="1:29" ht="32.1" customHeight="1">
      <c r="A26" s="235"/>
      <c r="B26" s="92" t="str">
        <f>_xlfn.XLOOKUP(ROW(B26)+1-ROW(B$25),報告用!$AE$4:$AE$37,報告用!F$4:F$37,"",FALSE)</f>
        <v/>
      </c>
      <c r="C26" s="151" t="str">
        <f>_xlfn.XLOOKUP(ROW(C26)+1-ROW(C$25),報告用!$AE$4:$AE$37,報告用!G$4:G$37,"",FALSE)</f>
        <v/>
      </c>
      <c r="D26" s="95" t="str">
        <f>IF(_xlfn.XLOOKUP(ROW(D26)+1-ROW(D$25),報告用!$AE$4:$AE$37,報告用!E$4:E$37,"",FALSE)=B26,"",_xlfn.XLOOKUP(ROW(D26)-ROW(D$16),報告用!$AE$4:$AE$37,報告用!E$4:E$37,"",FALSE))</f>
        <v/>
      </c>
      <c r="F26" s="237"/>
      <c r="G26" s="92">
        <f>_xlfn.XLOOKUP(ROW(G26)+1-ROW(G$13),報告用!$AK$4:$AK$37,報告用!$F$4:$F$37,"",FALSE)</f>
        <v>21</v>
      </c>
      <c r="H26" s="151" t="str">
        <f>_xlfn.XLOOKUP(ROW(H26)+1-ROW(H$13),報告用!$AK$4:$AK$37,報告用!$G$4:$G$37,"",FALSE)</f>
        <v>加納　鉄也</v>
      </c>
      <c r="I26" s="95">
        <f>IF(_xlfn.XLOOKUP(ROW(I26)+1-ROW(I$13),報告用!$AK$4:$AK$37,報告用!$E$4:$E$37,"",FALSE)=G26,"",_xlfn.XLOOKUP(ROW(I26)+1-ROW(I$13),報告用!$AK$4:$AK$37,報告用!$E$4:$E$37,"",FALSE))</f>
        <v>16</v>
      </c>
      <c r="J26" s="77"/>
      <c r="K26" s="237"/>
      <c r="L26" s="92" t="str">
        <f>_xlfn.XLOOKUP(ROW(L26)+1-ROW(L$13),報告用!$AL$4:$AL$37,報告用!$F$4:$F$37,"",FALSE)</f>
        <v/>
      </c>
      <c r="M26" s="151" t="str">
        <f>_xlfn.XLOOKUP(ROW(M26)+1-ROW(M$13),報告用!$AL$4:$AL$37,報告用!$G$4:$G$37,"",FALSE)</f>
        <v/>
      </c>
      <c r="N26" s="95" t="str">
        <f>IF(_xlfn.XLOOKUP(ROW(N26)+1-ROW(N$13),報告用!$AL$4:$AL$37,報告用!$E$4:$E$37,"",FALSE)=L26,"",_xlfn.XLOOKUP(ROW(N26)+1-ROW(N$13),報告用!$AL$4:$AL$37,報告用!$E$4:$E$37,"",FALSE))</f>
        <v/>
      </c>
      <c r="P26" s="237"/>
      <c r="Q26" s="92" t="str">
        <f>_xlfn.XLOOKUP(ROW(Q26)+1-ROW(Q$13),報告用!$AM$4:$AM$37,報告用!$F$4:$F$37,"",FALSE)</f>
        <v/>
      </c>
      <c r="R26" s="151" t="str">
        <f>_xlfn.XLOOKUP(ROW(R26)+1-ROW(R$13),報告用!$AM$4:$AM$37,報告用!$G$4:$G$37,"",FALSE)</f>
        <v/>
      </c>
      <c r="S26" s="95" t="str">
        <f>IF(_xlfn.XLOOKUP(ROW(S26)+1-ROW(S$13),報告用!$AM$4:$AM$37,報告用!$E$4:$E$37,"",FALSE)=Q26,"",_xlfn.XLOOKUP(ROW(S26)+1-ROW(S$13),報告用!$AM$4:$AM$37,報告用!$E$4:$E$37,"",FALSE))</f>
        <v/>
      </c>
      <c r="U26" s="237"/>
      <c r="V26" s="92" t="str">
        <f>_xlfn.XLOOKUP(ROW(V26)+1-ROW(V$13),報告用!$AN$4:$AN$37,報告用!$F$4:$F$37,"",FALSE)</f>
        <v/>
      </c>
      <c r="W26" s="151" t="str">
        <f>_xlfn.XLOOKUP(ROW(W26)+1-ROW(W$13),報告用!$AN$4:$AN$37,報告用!$G$4:$G$37,"",FALSE)</f>
        <v/>
      </c>
      <c r="X26" s="95" t="str">
        <f>IF(_xlfn.XLOOKUP(ROW(X26)+1-ROW(X$13),報告用!$AN$4:$AN$37,報告用!$E$4:$E$37,"",FALSE)=V26,"",_xlfn.XLOOKUP(ROW(X26)+1-ROW(X$13),報告用!$AN$4:$AN$37,報告用!$E$4:$E$37,"",FALSE))</f>
        <v/>
      </c>
      <c r="Y26" s="77"/>
      <c r="Z26" s="237"/>
      <c r="AA26" s="92">
        <f>_xlfn.XLOOKUP(ROW(AA26)+1-ROW(AA$13),報告用!$AO$4:$AO$37,報告用!$F$4:$F$37,"",FALSE)</f>
        <v>21</v>
      </c>
      <c r="AB26" s="151" t="str">
        <f>_xlfn.XLOOKUP(ROW(AB26)+1-ROW(AB$13),報告用!$AO$4:$AO$37,報告用!$G$4:$G$37,"",FALSE)</f>
        <v>加納　鉄也</v>
      </c>
      <c r="AC26" s="95">
        <f>IF(_xlfn.XLOOKUP(ROW(AC26)+1-ROW(AC$13),報告用!$AO$4:$AO$37,報告用!$E$4:$E$37,"",FALSE)=AA26,"",_xlfn.XLOOKUP(ROW(AC26)+1-ROW(AC$13),報告用!$AO$4:$AO$37,報告用!$E$4:$E$37,"",FALSE))</f>
        <v>16</v>
      </c>
    </row>
    <row r="27" spans="1:29" ht="32.1" customHeight="1" thickBot="1">
      <c r="A27" s="243"/>
      <c r="B27" s="156" t="str">
        <f>_xlfn.XLOOKUP(ROW(B27)+1-ROW(B$25),報告用!$AE$4:$AE$37,報告用!F$4:F$37,"",FALSE)</f>
        <v/>
      </c>
      <c r="C27" s="157" t="str">
        <f>_xlfn.XLOOKUP(ROW(C27)+1-ROW(C$25),報告用!$AE$4:$AE$37,報告用!G$4:G$37,"",FALSE)</f>
        <v/>
      </c>
      <c r="D27" s="158" t="str">
        <f>IF(_xlfn.XLOOKUP(ROW(D27)+1-ROW(D$25),報告用!$AE$4:$AE$37,報告用!E$4:E$37,"",FALSE)=B27,"",_xlfn.XLOOKUP(ROW(D27)-ROW(D$16),報告用!$AE$4:$AE$37,報告用!E$4:E$37,"",FALSE))</f>
        <v/>
      </c>
      <c r="F27" s="240"/>
      <c r="G27" s="156" t="str">
        <f>_xlfn.XLOOKUP(ROW(G27)+1-ROW(G$13),報告用!$AK$4:$AK$37,報告用!$F$4:$F$37,"",FALSE)</f>
        <v/>
      </c>
      <c r="H27" s="157" t="str">
        <f>_xlfn.XLOOKUP(ROW(H27)+1-ROW(H$13),報告用!$AK$4:$AK$37,報告用!$G$4:$G$37,"",FALSE)</f>
        <v/>
      </c>
      <c r="I27" s="158" t="str">
        <f>IF(_xlfn.XLOOKUP(ROW(I27)+1-ROW(I$13),報告用!$AK$4:$AK$37,報告用!$E$4:$E$37,"",FALSE)=G27,"",_xlfn.XLOOKUP(ROW(I27)+1-ROW(I$13),報告用!$AK$4:$AK$37,報告用!$E$4:$E$37,"",FALSE))</f>
        <v/>
      </c>
      <c r="J27" s="77"/>
      <c r="K27" s="240"/>
      <c r="L27" s="156" t="str">
        <f>_xlfn.XLOOKUP(ROW(L27)+1-ROW(L$13),報告用!$AL$4:$AL$37,報告用!$F$4:$F$37,"",FALSE)</f>
        <v/>
      </c>
      <c r="M27" s="157" t="str">
        <f>_xlfn.XLOOKUP(ROW(M27)+1-ROW(M$13),報告用!$AL$4:$AL$37,報告用!$G$4:$G$37,"",FALSE)</f>
        <v/>
      </c>
      <c r="N27" s="158" t="str">
        <f>IF(_xlfn.XLOOKUP(ROW(N27)+1-ROW(N$13),報告用!$AL$4:$AL$37,報告用!$E$4:$E$37,"",FALSE)=L27,"",_xlfn.XLOOKUP(ROW(N27)+1-ROW(N$13),報告用!$AL$4:$AL$37,報告用!$E$4:$E$37,"",FALSE))</f>
        <v/>
      </c>
      <c r="P27" s="240"/>
      <c r="Q27" s="156" t="str">
        <f>_xlfn.XLOOKUP(ROW(Q27)+1-ROW(Q$13),報告用!$AM$4:$AM$37,報告用!$F$4:$F$37,"",FALSE)</f>
        <v/>
      </c>
      <c r="R27" s="157" t="str">
        <f>_xlfn.XLOOKUP(ROW(R27)+1-ROW(R$13),報告用!$AM$4:$AM$37,報告用!$G$4:$G$37,"",FALSE)</f>
        <v/>
      </c>
      <c r="S27" s="158" t="str">
        <f>IF(_xlfn.XLOOKUP(ROW(S27)+1-ROW(S$13),報告用!$AM$4:$AM$37,報告用!$E$4:$E$37,"",FALSE)=Q27,"",_xlfn.XLOOKUP(ROW(S27)+1-ROW(S$13),報告用!$AM$4:$AM$37,報告用!$E$4:$E$37,"",FALSE))</f>
        <v/>
      </c>
      <c r="U27" s="240"/>
      <c r="V27" s="156" t="str">
        <f>_xlfn.XLOOKUP(ROW(V27)+1-ROW(V$13),報告用!$AN$4:$AN$37,報告用!$F$4:$F$37,"",FALSE)</f>
        <v/>
      </c>
      <c r="W27" s="157" t="str">
        <f>_xlfn.XLOOKUP(ROW(W27)+1-ROW(W$13),報告用!$AN$4:$AN$37,報告用!$G$4:$G$37,"",FALSE)</f>
        <v/>
      </c>
      <c r="X27" s="158" t="str">
        <f>IF(_xlfn.XLOOKUP(ROW(X27)+1-ROW(X$13),報告用!$AN$4:$AN$37,報告用!$E$4:$E$37,"",FALSE)=V27,"",_xlfn.XLOOKUP(ROW(X27)+1-ROW(X$13),報告用!$AN$4:$AN$37,報告用!$E$4:$E$37,"",FALSE))</f>
        <v/>
      </c>
      <c r="Y27" s="77"/>
      <c r="Z27" s="240"/>
      <c r="AA27" s="156" t="str">
        <f>_xlfn.XLOOKUP(ROW(AA27)+1-ROW(AA$13),報告用!$AO$4:$AO$37,報告用!$F$4:$F$37,"",FALSE)</f>
        <v/>
      </c>
      <c r="AB27" s="157" t="str">
        <f>_xlfn.XLOOKUP(ROW(AB27)+1-ROW(AB$13),報告用!$AO$4:$AO$37,報告用!$G$4:$G$37,"",FALSE)</f>
        <v/>
      </c>
      <c r="AC27" s="158" t="str">
        <f>IF(_xlfn.XLOOKUP(ROW(AC27)+1-ROW(AC$13),報告用!$AO$4:$AO$37,報告用!$E$4:$E$37,"",FALSE)=AA27,"",_xlfn.XLOOKUP(ROW(AC27)+1-ROW(AC$13),報告用!$AO$4:$AO$37,報告用!$E$4:$E$37,"",FALSE))</f>
        <v/>
      </c>
    </row>
    <row r="28" spans="1:29" ht="32.1" customHeight="1">
      <c r="A28" s="110"/>
      <c r="B28" s="110"/>
      <c r="C28" s="110"/>
      <c r="D28" s="110"/>
      <c r="E28" s="110"/>
      <c r="F28" s="233" t="s">
        <v>41</v>
      </c>
      <c r="G28" s="233"/>
      <c r="H28" s="233"/>
      <c r="I28" s="233"/>
      <c r="J28" s="233"/>
      <c r="K28" s="233"/>
      <c r="L28" s="233"/>
      <c r="M28" s="233"/>
      <c r="N28" s="233"/>
      <c r="O28" s="233"/>
      <c r="P28" s="233"/>
      <c r="Q28" s="233"/>
      <c r="R28" s="233"/>
      <c r="S28" s="233"/>
      <c r="T28" s="233"/>
      <c r="U28" s="233"/>
      <c r="V28" s="233"/>
      <c r="W28" s="233"/>
      <c r="X28" s="233"/>
      <c r="Y28" s="110"/>
      <c r="Z28" s="110"/>
      <c r="AA28" s="110"/>
      <c r="AB28" s="110"/>
      <c r="AC28" s="110"/>
    </row>
    <row r="29" spans="1:29" ht="32.1" customHeight="1" thickBot="1">
      <c r="A29" s="227" t="s">
        <v>50</v>
      </c>
      <c r="B29" s="227"/>
      <c r="C29" s="227"/>
      <c r="D29" s="227"/>
      <c r="E29" s="110"/>
      <c r="F29" s="233"/>
      <c r="G29" s="233"/>
      <c r="H29" s="233"/>
      <c r="I29" s="233"/>
      <c r="J29" s="233"/>
      <c r="K29" s="233"/>
      <c r="L29" s="233"/>
      <c r="M29" s="233"/>
      <c r="N29" s="233"/>
      <c r="O29" s="233"/>
      <c r="P29" s="233"/>
      <c r="Q29" s="233"/>
      <c r="R29" s="233"/>
      <c r="S29" s="233"/>
      <c r="T29" s="233"/>
      <c r="U29" s="233"/>
      <c r="V29" s="233"/>
      <c r="W29" s="233"/>
      <c r="X29" s="233"/>
      <c r="Y29" s="110"/>
      <c r="Z29" s="228">
        <f>報告用!$O$2</f>
        <v>46106</v>
      </c>
      <c r="AA29" s="228"/>
      <c r="AB29" s="228"/>
      <c r="AC29" s="228"/>
    </row>
    <row r="30" spans="1:29" ht="32.1" customHeight="1">
      <c r="A30" s="229" t="s">
        <v>29</v>
      </c>
      <c r="B30" s="231" t="s">
        <v>36</v>
      </c>
      <c r="C30" s="231"/>
      <c r="D30" s="232"/>
      <c r="F30" s="229" t="s">
        <v>31</v>
      </c>
      <c r="G30" s="231" t="s">
        <v>9</v>
      </c>
      <c r="H30" s="231"/>
      <c r="I30" s="232"/>
      <c r="J30" s="77"/>
      <c r="K30" s="229" t="s">
        <v>31</v>
      </c>
      <c r="L30" s="231" t="s">
        <v>10</v>
      </c>
      <c r="M30" s="231"/>
      <c r="N30" s="232"/>
      <c r="P30" s="229" t="s">
        <v>31</v>
      </c>
      <c r="Q30" s="231" t="s">
        <v>38</v>
      </c>
      <c r="R30" s="231"/>
      <c r="S30" s="232"/>
      <c r="U30" s="229" t="s">
        <v>31</v>
      </c>
      <c r="V30" s="231" t="s">
        <v>39</v>
      </c>
      <c r="W30" s="231"/>
      <c r="X30" s="232"/>
      <c r="Y30" s="77"/>
      <c r="Z30" s="229" t="s">
        <v>31</v>
      </c>
      <c r="AA30" s="231" t="s">
        <v>22</v>
      </c>
      <c r="AB30" s="231"/>
      <c r="AC30" s="232"/>
    </row>
    <row r="31" spans="1:29" ht="32.1" customHeight="1" thickBot="1">
      <c r="A31" s="230"/>
      <c r="B31" s="88" t="s">
        <v>18</v>
      </c>
      <c r="C31" s="88" t="s">
        <v>17</v>
      </c>
      <c r="D31" s="91" t="s">
        <v>30</v>
      </c>
      <c r="F31" s="230"/>
      <c r="G31" s="88" t="s">
        <v>18</v>
      </c>
      <c r="H31" s="148" t="s">
        <v>17</v>
      </c>
      <c r="I31" s="91" t="s">
        <v>30</v>
      </c>
      <c r="J31" s="77"/>
      <c r="K31" s="230"/>
      <c r="L31" s="88" t="s">
        <v>18</v>
      </c>
      <c r="M31" s="148" t="s">
        <v>17</v>
      </c>
      <c r="N31" s="91" t="s">
        <v>30</v>
      </c>
      <c r="P31" s="230"/>
      <c r="Q31" s="88" t="s">
        <v>18</v>
      </c>
      <c r="R31" s="148" t="s">
        <v>17</v>
      </c>
      <c r="S31" s="91" t="s">
        <v>30</v>
      </c>
      <c r="U31" s="230"/>
      <c r="V31" s="88" t="s">
        <v>18</v>
      </c>
      <c r="W31" s="148" t="s">
        <v>17</v>
      </c>
      <c r="X31" s="91" t="s">
        <v>30</v>
      </c>
      <c r="Y31" s="77"/>
      <c r="Z31" s="230"/>
      <c r="AA31" s="88" t="s">
        <v>18</v>
      </c>
      <c r="AB31" s="148" t="s">
        <v>17</v>
      </c>
      <c r="AC31" s="91" t="s">
        <v>30</v>
      </c>
    </row>
    <row r="32" spans="1:29" ht="32.1" customHeight="1" thickTop="1">
      <c r="A32" s="244" t="s">
        <v>32</v>
      </c>
      <c r="B32" s="92">
        <f>_xlfn.XLOOKUP(ROW(B32)+1-ROW(B$32),報告用!$AC$44:$AC$87,報告用!$F$44:$F$87,"",FALSE)</f>
        <v>23</v>
      </c>
      <c r="C32" s="151" t="str">
        <f>_xlfn.XLOOKUP(ROW(C32)+1-ROW(C$32),報告用!$AC$44:$AC$87,報告用!$G$44:$G$87,"",FALSE)</f>
        <v>森下計二</v>
      </c>
      <c r="D32" s="95" t="str">
        <f>IF(_xlfn.XLOOKUP(ROW(D32)+1-ROW(D$32),報告用!$AC$44:$AC$87,報告用!$E$44:$E$87,"",FALSE)=B32,"",_xlfn.XLOOKUP(ROW(D32)+1-ROW(D$32),報告用!$AC$44:$AC$87,報告用!$E$44:$E$87,"",FALSE))</f>
        <v/>
      </c>
      <c r="F32" s="239" t="s">
        <v>35</v>
      </c>
      <c r="G32" s="92">
        <f>_xlfn.XLOOKUP(ROW(G32)+1-ROW(G$32),報告用!$AF$44:$AF$87,報告用!$F$44:$F$87,"",FALSE)</f>
        <v>22</v>
      </c>
      <c r="H32" s="151" t="str">
        <f>_xlfn.XLOOKUP(ROW(H32)+1-ROW(H$32),報告用!$AF$44:$AF$87,報告用!$G$44:$G$87,"",FALSE)</f>
        <v>丸山　由美子</v>
      </c>
      <c r="I32" s="95" t="str">
        <f>IF(_xlfn.XLOOKUP(ROW(I32)+1-ROW(I$32),報告用!$AF$44:$AF$87,報告用!$E$44:$E$87,"",FALSE)=G32,"",_xlfn.XLOOKUP(ROW(I32)+1-ROW(I$32),報告用!$AF$44:$AF$87,報告用!$E$44:$E$87,"",FALSE))</f>
        <v/>
      </c>
      <c r="J32" s="77"/>
      <c r="K32" s="239" t="s">
        <v>35</v>
      </c>
      <c r="L32" s="92">
        <f>_xlfn.XLOOKUP(ROW(L32)+1-ROW(L$32),報告用!$AG$44:$AG$87,報告用!$F$44:$F$87,"",FALSE)</f>
        <v>22</v>
      </c>
      <c r="M32" s="151" t="str">
        <f>_xlfn.XLOOKUP(ROW(M32)+1-ROW(M$32),報告用!$AG$44:$AG$87,報告用!$G$44:$G$87,"",FALSE)</f>
        <v>丸山　由美子</v>
      </c>
      <c r="N32" s="95" t="str">
        <f>IF(_xlfn.XLOOKUP(ROW(N32)+1-ROW(N$32),報告用!$AG$44:$AG$87,報告用!$E$44:$E$87,"",FALSE)=L32,"",_xlfn.XLOOKUP(ROW(N32)+1-ROW(N$32),報告用!$AG$44:$AG$87,報告用!$E$44:$E$87,"",FALSE))</f>
        <v/>
      </c>
      <c r="P32" s="236" t="s">
        <v>35</v>
      </c>
      <c r="Q32" s="80">
        <f>_xlfn.XLOOKUP(ROW(Q32)+1-ROW(Q$32),報告用!$AH$44:$AH$87,報告用!$F$44:$F$87,"",FALSE)</f>
        <v>22</v>
      </c>
      <c r="R32" s="149" t="str">
        <f>_xlfn.XLOOKUP(ROW(R32)+1-ROW(R$32),報告用!$AH$44:$AH$87,報告用!$G$44:$G$87,"",FALSE)</f>
        <v>丸山　由美子</v>
      </c>
      <c r="S32" s="83" t="str">
        <f>IF(_xlfn.XLOOKUP(ROW(S32)+1-ROW(S$32),報告用!$AH$44:$AH$87,報告用!$E$44:$E$87,"",FALSE)=Q32,"",_xlfn.XLOOKUP(ROW(S32)+1-ROW(S$32),報告用!$AH$44:$AH$87,報告用!$E$44:$E$87,"",FALSE))</f>
        <v/>
      </c>
      <c r="U32" s="239" t="s">
        <v>35</v>
      </c>
      <c r="V32" s="80">
        <f>_xlfn.XLOOKUP(ROW(V32)+1-ROW(V$32),報告用!$AI$44:$AI$87,報告用!$F$44:$F$87,"",FALSE)</f>
        <v>22</v>
      </c>
      <c r="W32" s="149" t="str">
        <f>_xlfn.XLOOKUP(ROW(W32)+1-ROW(W$32),報告用!$AI$44:$AI$87,報告用!$G$44:$G$87,"",FALSE)</f>
        <v>丸山　由美子</v>
      </c>
      <c r="X32" s="83" t="str">
        <f>IF(_xlfn.XLOOKUP(ROW(X32)+1-ROW(X$32),報告用!$AI$44:$AI$87,報告用!$E$44:$E$87,"",FALSE)=V32,"",_xlfn.XLOOKUP(ROW(X32)+1-ROW(X$32),報告用!$AI$44:$AI$87,報告用!$E$44:$E$87,"",FALSE))</f>
        <v/>
      </c>
      <c r="Y32" s="77"/>
      <c r="Z32" s="236" t="s">
        <v>35</v>
      </c>
      <c r="AA32" s="80">
        <f>_xlfn.XLOOKUP(ROW(AA32)+1-ROW(AA$32),報告用!$AJ$44:$AJ$87,報告用!$F$44:$F$87,"",FALSE)</f>
        <v>22</v>
      </c>
      <c r="AB32" s="149" t="str">
        <f>_xlfn.XLOOKUP(ROW(AB32)+1-ROW(AB$32),報告用!$AJ$44:$AJ$87,報告用!$G$44:$G$87,"",FALSE)</f>
        <v>丸山　由美子</v>
      </c>
      <c r="AC32" s="83" t="str">
        <f>IF(_xlfn.XLOOKUP(ROW(AC32)+1-ROW(AC$32),報告用!$AJ$44:$AJ$87,報告用!$E$44:$E$87,"",FALSE)=AA32,"",_xlfn.XLOOKUP(ROW(AC32)-ROW(AC$32),報告用!$AJ$44:$AJ$87,報告用!$E$44:$E$87,"",FALSE))</f>
        <v/>
      </c>
    </row>
    <row r="33" spans="1:29" ht="32.1" customHeight="1">
      <c r="A33" s="235"/>
      <c r="B33" s="84">
        <f>_xlfn.XLOOKUP(ROW(B33)+1-ROW(B$32),報告用!$AC$44:$AC$87,報告用!$F$44:$F$87,"",FALSE)</f>
        <v>23</v>
      </c>
      <c r="C33" s="150" t="str">
        <f>_xlfn.XLOOKUP(ROW(C33)+1-ROW(C$32),報告用!$AC$44:$AC$87,報告用!$G$44:$G$87,"",FALSE)</f>
        <v>中川　誠</v>
      </c>
      <c r="D33" s="87" t="str">
        <f>IF(_xlfn.XLOOKUP(ROW(D33)+1-ROW(D$32),報告用!$AC$44:$AC$87,報告用!$E$44:$E$87,"",FALSE)=B33,"",_xlfn.XLOOKUP(ROW(D33)+1-ROW(D$32),報告用!$AC$44:$AC$87,報告用!$E$44:$E$87,"",FALSE))</f>
        <v/>
      </c>
      <c r="F33" s="237"/>
      <c r="G33" s="92">
        <f>_xlfn.XLOOKUP(ROW(G33)+1-ROW(G$32),報告用!$AF$44:$AF$87,報告用!$F$44:$F$87,"",FALSE)</f>
        <v>23</v>
      </c>
      <c r="H33" s="151" t="str">
        <f>_xlfn.XLOOKUP(ROW(H33)+1-ROW(H$32),報告用!$AF$44:$AF$87,報告用!$G$44:$G$87,"",FALSE)</f>
        <v>森下計二</v>
      </c>
      <c r="I33" s="95" t="str">
        <f>IF(_xlfn.XLOOKUP(ROW(I33)+1-ROW(I$32),報告用!$AF$44:$AF$87,報告用!$E$44:$E$87,"",FALSE)=G33,"",_xlfn.XLOOKUP(ROW(I33)+1-ROW(I$32),報告用!$AF$44:$AF$87,報告用!$E$44:$E$87,"",FALSE))</f>
        <v/>
      </c>
      <c r="J33" s="77"/>
      <c r="K33" s="237"/>
      <c r="L33" s="84">
        <f>_xlfn.XLOOKUP(ROW(L33)+1-ROW(L$32),報告用!$AG$44:$AG$87,報告用!$F$44:$F$87,"",FALSE)</f>
        <v>23</v>
      </c>
      <c r="M33" s="150" t="str">
        <f>_xlfn.XLOOKUP(ROW(M33)+1-ROW(M$32),報告用!$AG$44:$AG$87,報告用!$G$44:$G$87,"",FALSE)</f>
        <v>森下計二</v>
      </c>
      <c r="N33" s="95" t="str">
        <f>IF(_xlfn.XLOOKUP(ROW(N33)+1-ROW(N$32),報告用!$AG$44:$AG$87,報告用!$E$44:$E$87,"",FALSE)=L33,"",_xlfn.XLOOKUP(ROW(N33)+1-ROW(N$32),報告用!$AG$44:$AG$87,報告用!$E$44:$E$87,"",FALSE))</f>
        <v/>
      </c>
      <c r="P33" s="237"/>
      <c r="Q33" s="84">
        <f>_xlfn.XLOOKUP(ROW(Q33)+1-ROW(Q$32),報告用!$AH$44:$AH$87,報告用!$F$44:$F$87,"",FALSE)</f>
        <v>23</v>
      </c>
      <c r="R33" s="150" t="str">
        <f>_xlfn.XLOOKUP(ROW(R33)+1-ROW(R$32),報告用!$AH$44:$AH$87,報告用!$G$44:$G$87,"",FALSE)</f>
        <v>森下計二</v>
      </c>
      <c r="S33" s="87" t="str">
        <f>IF(_xlfn.XLOOKUP(ROW(S33)+1-ROW(S$32),報告用!$AH$44:$AH$87,報告用!$E$44:$E$87,"",FALSE)=Q33,"",_xlfn.XLOOKUP(ROW(S33)+1-ROW(S$32),報告用!$AH$44:$AH$87,報告用!$E$44:$E$87,"",FALSE))</f>
        <v/>
      </c>
      <c r="U33" s="237"/>
      <c r="V33" s="84">
        <f>_xlfn.XLOOKUP(ROW(V33)+1-ROW(V$32),報告用!$AI$44:$AI$87,報告用!$F$44:$F$87,"",FALSE)</f>
        <v>23</v>
      </c>
      <c r="W33" s="150" t="str">
        <f>_xlfn.XLOOKUP(ROW(W33)+1-ROW(W$32),報告用!$AI$44:$AI$87,報告用!$G$44:$G$87,"",FALSE)</f>
        <v>森下計二</v>
      </c>
      <c r="X33" s="87" t="str">
        <f>IF(_xlfn.XLOOKUP(ROW(X33)+1-ROW(X$32),報告用!$AI$44:$AI$87,報告用!$E$44:$E$87,"",FALSE)=V33,"",_xlfn.XLOOKUP(ROW(X33)+1-ROW(X$32),報告用!$AI$44:$AI$87,報告用!$E$44:$E$87,"",FALSE))</f>
        <v/>
      </c>
      <c r="Y33" s="77"/>
      <c r="Z33" s="237"/>
      <c r="AA33" s="84">
        <f>_xlfn.XLOOKUP(ROW(AA33)+1-ROW(AA$32),報告用!$AJ$44:$AJ$87,報告用!$F$44:$F$87,"",FALSE)</f>
        <v>23</v>
      </c>
      <c r="AB33" s="150" t="str">
        <f>_xlfn.XLOOKUP(ROW(AB33)+1-ROW(AB$32),報告用!$AJ$44:$AJ$87,報告用!$G$44:$G$87,"",FALSE)</f>
        <v>森下計二</v>
      </c>
      <c r="AC33" s="87" t="str">
        <f>IF(_xlfn.XLOOKUP(ROW(AC33)+1-ROW(AC$32),報告用!$AJ$44:$AJ$87,報告用!$E$44:$E$87,"",FALSE)=AA33,"",_xlfn.XLOOKUP(ROW(AC33)-ROW(AC$32),報告用!$AJ$44:$AJ$87,報告用!$E$44:$E$87,"",FALSE))</f>
        <v/>
      </c>
    </row>
    <row r="34" spans="1:29" ht="32.1" customHeight="1">
      <c r="A34" s="235"/>
      <c r="B34" s="84">
        <f>_xlfn.XLOOKUP(ROW(B34)+1-ROW(B$32),報告用!$AC$44:$AC$87,報告用!$F$44:$F$87,"",FALSE)</f>
        <v>25</v>
      </c>
      <c r="C34" s="150" t="str">
        <f>_xlfn.XLOOKUP(ROW(C34)+1-ROW(C$32),報告用!$AC$44:$AC$87,報告用!$G$44:$G$87,"",FALSE)</f>
        <v>★村松　恒彦</v>
      </c>
      <c r="D34" s="87" t="str">
        <f>IF(_xlfn.XLOOKUP(ROW(D34)+1-ROW(D$32),報告用!$AC$44:$AC$87,報告用!$E$44:$E$87,"",FALSE)=B34,"",_xlfn.XLOOKUP(ROW(D34)+1-ROW(D$32),報告用!$AC$44:$AC$87,報告用!$E$44:$E$87,"",FALSE))</f>
        <v/>
      </c>
      <c r="F34" s="237"/>
      <c r="G34" s="92">
        <f>_xlfn.XLOOKUP(ROW(G34)+1-ROW(G$32),報告用!$AF$44:$AF$87,報告用!$F$44:$F$87,"",FALSE)</f>
        <v>25</v>
      </c>
      <c r="H34" s="151" t="str">
        <f>_xlfn.XLOOKUP(ROW(H34)+1-ROW(H$32),報告用!$AF$44:$AF$87,報告用!$G$44:$G$87,"",FALSE)</f>
        <v>鈴木　賢浄</v>
      </c>
      <c r="I34" s="95" t="str">
        <f>IF(_xlfn.XLOOKUP(ROW(I34)+1-ROW(I$32),報告用!$AF$44:$AF$87,報告用!$E$44:$E$87,"",FALSE)=G34,"",_xlfn.XLOOKUP(ROW(I34)+1-ROW(I$32),報告用!$AF$44:$AF$87,報告用!$E$44:$E$87,"",FALSE))</f>
        <v/>
      </c>
      <c r="J34" s="77"/>
      <c r="K34" s="237"/>
      <c r="L34" s="84">
        <f>_xlfn.XLOOKUP(ROW(L34)+1-ROW(L$32),報告用!$AG$44:$AG$87,報告用!$F$44:$F$87,"",FALSE)</f>
        <v>25</v>
      </c>
      <c r="M34" s="150" t="str">
        <f>_xlfn.XLOOKUP(ROW(M34)+1-ROW(M$32),報告用!$AG$44:$AG$87,報告用!$G$44:$G$87,"",FALSE)</f>
        <v>鈴木　賢浄</v>
      </c>
      <c r="N34" s="95" t="str">
        <f>IF(_xlfn.XLOOKUP(ROW(N34)+1-ROW(N$32),報告用!$AG$44:$AG$87,報告用!$E$44:$E$87,"",FALSE)=L34,"",_xlfn.XLOOKUP(ROW(N34)+1-ROW(N$32),報告用!$AG$44:$AG$87,報告用!$E$44:$E$87,"",FALSE))</f>
        <v/>
      </c>
      <c r="P34" s="237"/>
      <c r="Q34" s="84">
        <f>_xlfn.XLOOKUP(ROW(Q34)+1-ROW(Q$32),報告用!$AH$44:$AH$87,報告用!$F$44:$F$87,"",FALSE)</f>
        <v>25</v>
      </c>
      <c r="R34" s="150" t="str">
        <f>_xlfn.XLOOKUP(ROW(R34)+1-ROW(R$32),報告用!$AH$44:$AH$87,報告用!$G$44:$G$87,"",FALSE)</f>
        <v>鈴木　賢浄</v>
      </c>
      <c r="S34" s="87" t="str">
        <f>IF(_xlfn.XLOOKUP(ROW(S34)+1-ROW(S$32),報告用!$AH$44:$AH$87,報告用!$E$44:$E$87,"",FALSE)=Q34,"",_xlfn.XLOOKUP(ROW(S34)+1-ROW(S$32),報告用!$AH$44:$AH$87,報告用!$E$44:$E$87,"",FALSE))</f>
        <v/>
      </c>
      <c r="U34" s="237"/>
      <c r="V34" s="84">
        <f>_xlfn.XLOOKUP(ROW(V34)+1-ROW(V$32),報告用!$AI$44:$AI$87,報告用!$F$44:$F$87,"",FALSE)</f>
        <v>25</v>
      </c>
      <c r="W34" s="150" t="str">
        <f>_xlfn.XLOOKUP(ROW(W34)+1-ROW(W$32),報告用!$AI$44:$AI$87,報告用!$G$44:$G$87,"",FALSE)</f>
        <v>鈴木　賢浄</v>
      </c>
      <c r="X34" s="87" t="str">
        <f>IF(_xlfn.XLOOKUP(ROW(X34)+1-ROW(X$32),報告用!$AI$44:$AI$87,報告用!$E$44:$E$87,"",FALSE)=V34,"",_xlfn.XLOOKUP(ROW(X34)+1-ROW(X$32),報告用!$AI$44:$AI$87,報告用!$E$44:$E$87,"",FALSE))</f>
        <v/>
      </c>
      <c r="Y34" s="77"/>
      <c r="Z34" s="237"/>
      <c r="AA34" s="84">
        <f>_xlfn.XLOOKUP(ROW(AA34)+1-ROW(AA$32),報告用!$AJ$44:$AJ$87,報告用!$F$44:$F$87,"",FALSE)</f>
        <v>25</v>
      </c>
      <c r="AB34" s="150" t="str">
        <f>_xlfn.XLOOKUP(ROW(AB34)+1-ROW(AB$32),報告用!$AJ$44:$AJ$87,報告用!$G$44:$G$87,"",FALSE)</f>
        <v>鈴木　賢浄</v>
      </c>
      <c r="AC34" s="87" t="str">
        <f>IF(_xlfn.XLOOKUP(ROW(AC34)+1-ROW(AC$32),報告用!$AJ$44:$AJ$87,報告用!$E$44:$E$87,"",FALSE)=AA34,"",_xlfn.XLOOKUP(ROW(AC34)-ROW(AC$32),報告用!$AJ$44:$AJ$87,報告用!$E$44:$E$87,"",FALSE))</f>
        <v/>
      </c>
    </row>
    <row r="35" spans="1:29" ht="32.1" customHeight="1">
      <c r="A35" s="235"/>
      <c r="B35" s="84">
        <f>_xlfn.XLOOKUP(ROW(B35)+1-ROW(B$32),報告用!$AC$44:$AC$87,報告用!$F$44:$F$87,"",FALSE)</f>
        <v>5</v>
      </c>
      <c r="C35" s="150" t="str">
        <f>_xlfn.XLOOKUP(ROW(C35)+1-ROW(C$32),報告用!$AC$44:$AC$87,報告用!$G$44:$G$87,"",FALSE)</f>
        <v>★横森　宗男</v>
      </c>
      <c r="D35" s="87" t="str">
        <f>IF(_xlfn.XLOOKUP(ROW(D35)+1-ROW(D$32),報告用!$AC$44:$AC$87,報告用!$E$44:$E$87,"",FALSE)=B35,"",_xlfn.XLOOKUP(ROW(D35)+1-ROW(D$32),報告用!$AC$44:$AC$87,報告用!$E$44:$E$87,"",FALSE))</f>
        <v/>
      </c>
      <c r="F35" s="237"/>
      <c r="G35" s="92">
        <f>_xlfn.XLOOKUP(ROW(G35)+1-ROW(G$32),報告用!$AF$44:$AF$87,報告用!$F$44:$F$87,"",FALSE)</f>
        <v>1</v>
      </c>
      <c r="H35" s="151" t="str">
        <f>_xlfn.XLOOKUP(ROW(H35)+1-ROW(H$32),報告用!$AF$44:$AF$87,報告用!$G$44:$G$87,"",FALSE)</f>
        <v>笹本　定子</v>
      </c>
      <c r="I35" s="95" t="str">
        <f>IF(_xlfn.XLOOKUP(ROW(I35)+1-ROW(I$32),報告用!$AF$44:$AF$87,報告用!$E$44:$E$87,"",FALSE)=G35,"",_xlfn.XLOOKUP(ROW(I35)+1-ROW(I$32),報告用!$AF$44:$AF$87,報告用!$E$44:$E$87,"",FALSE))</f>
        <v/>
      </c>
      <c r="J35" s="77"/>
      <c r="K35" s="237"/>
      <c r="L35" s="84">
        <f>_xlfn.XLOOKUP(ROW(L35)+1-ROW(L$32),報告用!$AG$44:$AG$87,報告用!$F$44:$F$87,"",FALSE)</f>
        <v>1</v>
      </c>
      <c r="M35" s="150" t="str">
        <f>_xlfn.XLOOKUP(ROW(M35)+1-ROW(M$32),報告用!$AG$44:$AG$87,報告用!$G$44:$G$87,"",FALSE)</f>
        <v>笹本　定子</v>
      </c>
      <c r="N35" s="95" t="str">
        <f>IF(_xlfn.XLOOKUP(ROW(N35)+1-ROW(N$32),報告用!$AG$44:$AG$87,報告用!$E$44:$E$87,"",FALSE)=L35,"",_xlfn.XLOOKUP(ROW(N35)+1-ROW(N$32),報告用!$AG$44:$AG$87,報告用!$E$44:$E$87,"",FALSE))</f>
        <v/>
      </c>
      <c r="P35" s="237"/>
      <c r="Q35" s="84">
        <f>_xlfn.XLOOKUP(ROW(Q35)+1-ROW(Q$32),報告用!$AH$44:$AH$87,報告用!$F$44:$F$87,"",FALSE)</f>
        <v>1</v>
      </c>
      <c r="R35" s="150" t="str">
        <f>_xlfn.XLOOKUP(ROW(R35)+1-ROW(R$32),報告用!$AH$44:$AH$87,報告用!$G$44:$G$87,"",FALSE)</f>
        <v>笹本　定子</v>
      </c>
      <c r="S35" s="87" t="str">
        <f>IF(_xlfn.XLOOKUP(ROW(S35)+1-ROW(S$32),報告用!$AH$44:$AH$87,報告用!$E$44:$E$87,"",FALSE)=Q35,"",_xlfn.XLOOKUP(ROW(S35)+1-ROW(S$32),報告用!$AH$44:$AH$87,報告用!$E$44:$E$87,"",FALSE))</f>
        <v/>
      </c>
      <c r="U35" s="237"/>
      <c r="V35" s="84">
        <f>_xlfn.XLOOKUP(ROW(V35)+1-ROW(V$32),報告用!$AI$44:$AI$87,報告用!$F$44:$F$87,"",FALSE)</f>
        <v>1</v>
      </c>
      <c r="W35" s="150" t="str">
        <f>_xlfn.XLOOKUP(ROW(W35)+1-ROW(W$32),報告用!$AI$44:$AI$87,報告用!$G$44:$G$87,"",FALSE)</f>
        <v>笹本　定子</v>
      </c>
      <c r="X35" s="87" t="str">
        <f>IF(_xlfn.XLOOKUP(ROW(X35)+1-ROW(X$32),報告用!$AI$44:$AI$87,報告用!$E$44:$E$87,"",FALSE)=V35,"",_xlfn.XLOOKUP(ROW(X35)+1-ROW(X$32),報告用!$AI$44:$AI$87,報告用!$E$44:$E$87,"",FALSE))</f>
        <v/>
      </c>
      <c r="Y35" s="77"/>
      <c r="Z35" s="237"/>
      <c r="AA35" s="84">
        <f>_xlfn.XLOOKUP(ROW(AA35)+1-ROW(AA$32),報告用!$AJ$44:$AJ$87,報告用!$F$44:$F$87,"",FALSE)</f>
        <v>1</v>
      </c>
      <c r="AB35" s="150" t="str">
        <f>_xlfn.XLOOKUP(ROW(AB35)+1-ROW(AB$32),報告用!$AJ$44:$AJ$87,報告用!$G$44:$G$87,"",FALSE)</f>
        <v>笹本　定子</v>
      </c>
      <c r="AC35" s="87" t="str">
        <f>IF(_xlfn.XLOOKUP(ROW(AC35)+1-ROW(AC$32),報告用!$AJ$44:$AJ$87,報告用!$E$44:$E$87,"",FALSE)=AA35,"",_xlfn.XLOOKUP(ROW(AC35)-ROW(AC$32),報告用!$AJ$44:$AJ$87,報告用!$E$44:$E$87,"",FALSE))</f>
        <v/>
      </c>
    </row>
    <row r="36" spans="1:29" ht="32.1" customHeight="1">
      <c r="A36" s="235"/>
      <c r="B36" s="84">
        <f>_xlfn.XLOOKUP(ROW(B36)+1-ROW(B$32),報告用!$AC$44:$AC$87,報告用!$F$44:$F$87,"",FALSE)</f>
        <v>6</v>
      </c>
      <c r="C36" s="150" t="str">
        <f>_xlfn.XLOOKUP(ROW(C36)+1-ROW(C$32),報告用!$AC$44:$AC$87,報告用!$G$44:$G$87,"",FALSE)</f>
        <v>★フジイロザスミコ</v>
      </c>
      <c r="D36" s="87" t="str">
        <f>IF(_xlfn.XLOOKUP(ROW(D36)+1-ROW(D$32),報告用!$AC$44:$AC$87,報告用!$E$44:$E$87,"",FALSE)=B36,"",_xlfn.XLOOKUP(ROW(D36)+1-ROW(D$32),報告用!$AC$44:$AC$87,報告用!$E$44:$E$87,"",FALSE))</f>
        <v/>
      </c>
      <c r="F36" s="237"/>
      <c r="G36" s="92">
        <f>_xlfn.XLOOKUP(ROW(G36)+1-ROW(G$32),報告用!$AF$44:$AF$87,報告用!$F$44:$F$87,"",FALSE)</f>
        <v>3</v>
      </c>
      <c r="H36" s="151" t="str">
        <f>_xlfn.XLOOKUP(ROW(H36)+1-ROW(H$32),報告用!$AF$44:$AF$87,報告用!$G$44:$G$87,"",FALSE)</f>
        <v>コナカザワキクコ</v>
      </c>
      <c r="I36" s="95">
        <f>IF(_xlfn.XLOOKUP(ROW(I36)+1-ROW(I$32),報告用!$AF$44:$AF$87,報告用!$E$44:$E$87,"",FALSE)=G36,"",_xlfn.XLOOKUP(ROW(I36)+1-ROW(I$32),報告用!$AF$44:$AF$87,報告用!$E$44:$E$87,"",FALSE))</f>
        <v>2</v>
      </c>
      <c r="J36" s="77"/>
      <c r="K36" s="237"/>
      <c r="L36" s="84">
        <f>_xlfn.XLOOKUP(ROW(L36)+1-ROW(L$32),報告用!$AG$44:$AG$87,報告用!$F$44:$F$87,"",FALSE)</f>
        <v>3</v>
      </c>
      <c r="M36" s="150" t="str">
        <f>_xlfn.XLOOKUP(ROW(M36)+1-ROW(M$32),報告用!$AG$44:$AG$87,報告用!$G$44:$G$87,"",FALSE)</f>
        <v>コナカザワキクコ</v>
      </c>
      <c r="N36" s="95">
        <f>IF(_xlfn.XLOOKUP(ROW(N36)+1-ROW(N$32),報告用!$AG$44:$AG$87,報告用!$E$44:$E$87,"",FALSE)=L36,"",_xlfn.XLOOKUP(ROW(N36)+1-ROW(N$32),報告用!$AG$44:$AG$87,報告用!$E$44:$E$87,"",FALSE))</f>
        <v>2</v>
      </c>
      <c r="P36" s="237"/>
      <c r="Q36" s="84">
        <f>_xlfn.XLOOKUP(ROW(Q36)+1-ROW(Q$32),報告用!$AH$44:$AH$87,報告用!$F$44:$F$87,"",FALSE)</f>
        <v>3</v>
      </c>
      <c r="R36" s="150" t="str">
        <f>_xlfn.XLOOKUP(ROW(R36)+1-ROW(R$32),報告用!$AH$44:$AH$87,報告用!$G$44:$G$87,"",FALSE)</f>
        <v>コナカザワキクコ</v>
      </c>
      <c r="S36" s="87">
        <f>IF(_xlfn.XLOOKUP(ROW(S36)+1-ROW(S$32),報告用!$AH$44:$AH$87,報告用!$E$44:$E$87,"",FALSE)=Q36,"",_xlfn.XLOOKUP(ROW(S36)+1-ROW(S$32),報告用!$AH$44:$AH$87,報告用!$E$44:$E$87,"",FALSE))</f>
        <v>2</v>
      </c>
      <c r="U36" s="237"/>
      <c r="V36" s="84">
        <f>_xlfn.XLOOKUP(ROW(V36)+1-ROW(V$32),報告用!$AI$44:$AI$87,報告用!$F$44:$F$87,"",FALSE)</f>
        <v>3</v>
      </c>
      <c r="W36" s="150" t="str">
        <f>_xlfn.XLOOKUP(ROW(W36)+1-ROW(W$32),報告用!$AI$44:$AI$87,報告用!$G$44:$G$87,"",FALSE)</f>
        <v>コナカザワキクコ</v>
      </c>
      <c r="X36" s="87">
        <f>IF(_xlfn.XLOOKUP(ROW(X36)+1-ROW(X$32),報告用!$AI$44:$AI$87,報告用!$E$44:$E$87,"",FALSE)=V36,"",_xlfn.XLOOKUP(ROW(X36)+1-ROW(X$32),報告用!$AI$44:$AI$87,報告用!$E$44:$E$87,"",FALSE))</f>
        <v>2</v>
      </c>
      <c r="Y36" s="77"/>
      <c r="Z36" s="237"/>
      <c r="AA36" s="84">
        <f>_xlfn.XLOOKUP(ROW(AA36)+1-ROW(AA$32),報告用!$AJ$44:$AJ$87,報告用!$F$44:$F$87,"",FALSE)</f>
        <v>3</v>
      </c>
      <c r="AB36" s="150" t="str">
        <f>_xlfn.XLOOKUP(ROW(AB36)+1-ROW(AB$32),報告用!$AJ$44:$AJ$87,報告用!$G$44:$G$87,"",FALSE)</f>
        <v>コナカザワキクコ</v>
      </c>
      <c r="AC36" s="87">
        <f>IF(_xlfn.XLOOKUP(ROW(AC36)+1-ROW(AC$32),報告用!$AJ$44:$AJ$87,報告用!$E$44:$E$87,"",FALSE)=AA36,"",_xlfn.XLOOKUP(ROW(AC36)-ROW(AC$32),報告用!$AJ$44:$AJ$87,報告用!$E$44:$E$87,"",FALSE))</f>
        <v>1</v>
      </c>
    </row>
    <row r="37" spans="1:29" ht="32.1" customHeight="1">
      <c r="A37" s="235"/>
      <c r="B37" s="84">
        <f>_xlfn.XLOOKUP(ROW(B37)+1-ROW(B$32),報告用!$AC$44:$AC$87,報告用!$F$44:$F$87,"",FALSE)</f>
        <v>7</v>
      </c>
      <c r="C37" s="150" t="str">
        <f>_xlfn.XLOOKUP(ROW(C37)+1-ROW(C$32),報告用!$AC$44:$AC$87,報告用!$G$44:$G$87,"",FALSE)</f>
        <v>★佐藤　光正</v>
      </c>
      <c r="D37" s="87" t="str">
        <f>IF(_xlfn.XLOOKUP(ROW(D37)+1-ROW(D$32),報告用!$AC$44:$AC$87,報告用!$E$44:$E$87,"",FALSE)=B37,"",_xlfn.XLOOKUP(ROW(D37)+1-ROW(D$32),報告用!$AC$44:$AC$87,報告用!$E$44:$E$87,"",FALSE))</f>
        <v/>
      </c>
      <c r="F37" s="237"/>
      <c r="G37" s="92">
        <f>_xlfn.XLOOKUP(ROW(G37)+1-ROW(G$32),報告用!$AF$44:$AF$87,報告用!$F$44:$F$87,"",FALSE)</f>
        <v>5</v>
      </c>
      <c r="H37" s="151" t="str">
        <f>_xlfn.XLOOKUP(ROW(H37)+1-ROW(H$32),報告用!$AF$44:$AF$87,報告用!$G$44:$G$87,"",FALSE)</f>
        <v>高田 保英</v>
      </c>
      <c r="I37" s="95">
        <f>IF(_xlfn.XLOOKUP(ROW(I37)+1-ROW(I$32),報告用!$AF$44:$AF$87,報告用!$E$44:$E$87,"",FALSE)=G37,"",_xlfn.XLOOKUP(ROW(I37)+1-ROW(I$32),報告用!$AF$44:$AF$87,報告用!$E$44:$E$87,"",FALSE))</f>
        <v>25</v>
      </c>
      <c r="J37" s="77"/>
      <c r="K37" s="237"/>
      <c r="L37" s="84">
        <f>_xlfn.XLOOKUP(ROW(L37)+1-ROW(L$32),報告用!$AG$44:$AG$87,報告用!$F$44:$F$87,"",FALSE)</f>
        <v>5</v>
      </c>
      <c r="M37" s="150" t="str">
        <f>_xlfn.XLOOKUP(ROW(M37)+1-ROW(M$32),報告用!$AG$44:$AG$87,報告用!$G$44:$G$87,"",FALSE)</f>
        <v>高田 保英</v>
      </c>
      <c r="N37" s="95">
        <f>IF(_xlfn.XLOOKUP(ROW(N37)+1-ROW(N$32),報告用!$AG$44:$AG$87,報告用!$E$44:$E$87,"",FALSE)=L37,"",_xlfn.XLOOKUP(ROW(N37)+1-ROW(N$32),報告用!$AG$44:$AG$87,報告用!$E$44:$E$87,"",FALSE))</f>
        <v>25</v>
      </c>
      <c r="P37" s="237"/>
      <c r="Q37" s="84">
        <f>_xlfn.XLOOKUP(ROW(Q37)+1-ROW(Q$32),報告用!$AH$44:$AH$87,報告用!$F$44:$F$87,"",FALSE)</f>
        <v>5</v>
      </c>
      <c r="R37" s="150" t="str">
        <f>_xlfn.XLOOKUP(ROW(R37)+1-ROW(R$32),報告用!$AH$44:$AH$87,報告用!$G$44:$G$87,"",FALSE)</f>
        <v>高田 保英</v>
      </c>
      <c r="S37" s="87">
        <f>IF(_xlfn.XLOOKUP(ROW(S37)+1-ROW(S$32),報告用!$AH$44:$AH$87,報告用!$E$44:$E$87,"",FALSE)=Q37,"",_xlfn.XLOOKUP(ROW(S37)+1-ROW(S$32),報告用!$AH$44:$AH$87,報告用!$E$44:$E$87,"",FALSE))</f>
        <v>25</v>
      </c>
      <c r="U37" s="237"/>
      <c r="V37" s="84">
        <f>_xlfn.XLOOKUP(ROW(V37)+1-ROW(V$32),報告用!$AI$44:$AI$87,報告用!$F$44:$F$87,"",FALSE)</f>
        <v>5</v>
      </c>
      <c r="W37" s="150" t="str">
        <f>_xlfn.XLOOKUP(ROW(W37)+1-ROW(W$32),報告用!$AI$44:$AI$87,報告用!$G$44:$G$87,"",FALSE)</f>
        <v>高田 保英</v>
      </c>
      <c r="X37" s="87">
        <f>IF(_xlfn.XLOOKUP(ROW(X37)+1-ROW(X$32),報告用!$AI$44:$AI$87,報告用!$E$44:$E$87,"",FALSE)=V37,"",_xlfn.XLOOKUP(ROW(X37)+1-ROW(X$32),報告用!$AI$44:$AI$87,報告用!$E$44:$E$87,"",FALSE))</f>
        <v>25</v>
      </c>
      <c r="Y37" s="77"/>
      <c r="Z37" s="237"/>
      <c r="AA37" s="84">
        <f>_xlfn.XLOOKUP(ROW(AA37)+1-ROW(AA$32),報告用!$AJ$44:$AJ$87,報告用!$F$44:$F$87,"",FALSE)</f>
        <v>5</v>
      </c>
      <c r="AB37" s="150" t="str">
        <f>_xlfn.XLOOKUP(ROW(AB37)+1-ROW(AB$32),報告用!$AJ$44:$AJ$87,報告用!$G$44:$G$87,"",FALSE)</f>
        <v>高田 保英</v>
      </c>
      <c r="AC37" s="87">
        <f>IF(_xlfn.XLOOKUP(ROW(AC37)+1-ROW(AC$32),報告用!$AJ$44:$AJ$87,報告用!$E$44:$E$87,"",FALSE)=AA37,"",_xlfn.XLOOKUP(ROW(AC37)-ROW(AC$32),報告用!$AJ$44:$AJ$87,報告用!$E$44:$E$87,"",FALSE))</f>
        <v>2</v>
      </c>
    </row>
    <row r="38" spans="1:29" ht="32.1" customHeight="1">
      <c r="A38" s="235"/>
      <c r="B38" s="84" t="str">
        <f>_xlfn.XLOOKUP(ROW(B38)+1-ROW(B$32),報告用!$AC$44:$AC$87,報告用!$F$44:$F$87,"",FALSE)</f>
        <v/>
      </c>
      <c r="C38" s="150" t="str">
        <f>_xlfn.XLOOKUP(ROW(C38)+1-ROW(C$32),報告用!$AC$44:$AC$87,報告用!$G$44:$G$87,"",FALSE)</f>
        <v/>
      </c>
      <c r="D38" s="87" t="str">
        <f>IF(_xlfn.XLOOKUP(ROW(D38)+1-ROW(D$32),報告用!$AC$44:$AC$87,報告用!$E$44:$E$87,"",FALSE)=B38,"",_xlfn.XLOOKUP(ROW(D38)+1-ROW(D$32),報告用!$AC$44:$AC$87,報告用!$E$44:$E$87,"",FALSE))</f>
        <v/>
      </c>
      <c r="F38" s="237"/>
      <c r="G38" s="92">
        <f>_xlfn.XLOOKUP(ROW(G38)+1-ROW(G$32),報告用!$AF$44:$AF$87,報告用!$F$44:$F$87,"",FALSE)</f>
        <v>8</v>
      </c>
      <c r="H38" s="151" t="str">
        <f>_xlfn.XLOOKUP(ROW(H38)+1-ROW(H$32),報告用!$AF$44:$AF$87,報告用!$G$44:$G$87,"",FALSE)</f>
        <v>望月　昭利(短時間)</v>
      </c>
      <c r="I38" s="95">
        <f>IF(_xlfn.XLOOKUP(ROW(I38)+1-ROW(I$32),報告用!$AF$44:$AF$87,報告用!$E$44:$E$87,"",FALSE)=G38,"",_xlfn.XLOOKUP(ROW(I38)+1-ROW(I$32),報告用!$AF$44:$AF$87,報告用!$E$44:$E$87,"",FALSE))</f>
        <v>5</v>
      </c>
      <c r="J38" s="77"/>
      <c r="K38" s="237"/>
      <c r="L38" s="84">
        <f>_xlfn.XLOOKUP(ROW(L38)+1-ROW(L$32),報告用!$AG$44:$AG$87,報告用!$F$44:$F$87,"",FALSE)</f>
        <v>8</v>
      </c>
      <c r="M38" s="150" t="str">
        <f>_xlfn.XLOOKUP(ROW(M38)+1-ROW(M$32),報告用!$AG$44:$AG$87,報告用!$G$44:$G$87,"",FALSE)</f>
        <v>望月　昭利(短時間)</v>
      </c>
      <c r="N38" s="95">
        <f>IF(_xlfn.XLOOKUP(ROW(N38)+1-ROW(N$32),報告用!$AG$44:$AG$87,報告用!$E$44:$E$87,"",FALSE)=L38,"",_xlfn.XLOOKUP(ROW(N38)+1-ROW(N$32),報告用!$AG$44:$AG$87,報告用!$E$44:$E$87,"",FALSE))</f>
        <v>5</v>
      </c>
      <c r="P38" s="237"/>
      <c r="Q38" s="84">
        <f>_xlfn.XLOOKUP(ROW(Q38)+1-ROW(Q$32),報告用!$AH$44:$AH$87,報告用!$F$44:$F$87,"",FALSE)</f>
        <v>8</v>
      </c>
      <c r="R38" s="150" t="str">
        <f>_xlfn.XLOOKUP(ROW(R38)+1-ROW(R$32),報告用!$AH$44:$AH$87,報告用!$G$44:$G$87,"",FALSE)</f>
        <v>望月　昭利(短時間)</v>
      </c>
      <c r="S38" s="87">
        <f>IF(_xlfn.XLOOKUP(ROW(S38)+1-ROW(S$32),報告用!$AH$44:$AH$87,報告用!$E$44:$E$87,"",FALSE)=Q38,"",_xlfn.XLOOKUP(ROW(S38)+1-ROW(S$32),報告用!$AH$44:$AH$87,報告用!$E$44:$E$87,"",FALSE))</f>
        <v>5</v>
      </c>
      <c r="U38" s="237"/>
      <c r="V38" s="84">
        <f>_xlfn.XLOOKUP(ROW(V38)+1-ROW(V$32),報告用!$AI$44:$AI$87,報告用!$F$44:$F$87,"",FALSE)</f>
        <v>8</v>
      </c>
      <c r="W38" s="150" t="str">
        <f>_xlfn.XLOOKUP(ROW(W38)+1-ROW(W$32),報告用!$AI$44:$AI$87,報告用!$G$44:$G$87,"",FALSE)</f>
        <v>望月　昭利(短時間)</v>
      </c>
      <c r="X38" s="87">
        <f>IF(_xlfn.XLOOKUP(ROW(X38)+1-ROW(X$32),報告用!$AI$44:$AI$87,報告用!$E$44:$E$87,"",FALSE)=V38,"",_xlfn.XLOOKUP(ROW(X38)+1-ROW(X$32),報告用!$AI$44:$AI$87,報告用!$E$44:$E$87,"",FALSE))</f>
        <v>5</v>
      </c>
      <c r="Y38" s="77"/>
      <c r="Z38" s="237"/>
      <c r="AA38" s="84">
        <f>_xlfn.XLOOKUP(ROW(AA38)+1-ROW(AA$32),報告用!$AJ$44:$AJ$87,報告用!$F$44:$F$87,"",FALSE)</f>
        <v>8</v>
      </c>
      <c r="AB38" s="150" t="str">
        <f>_xlfn.XLOOKUP(ROW(AB38)+1-ROW(AB$32),報告用!$AJ$44:$AJ$87,報告用!$G$44:$G$87,"",FALSE)</f>
        <v>望月　昭利(短時間)</v>
      </c>
      <c r="AC38" s="87">
        <f>IF(_xlfn.XLOOKUP(ROW(AC38)+1-ROW(AC$32),報告用!$AJ$44:$AJ$87,報告用!$E$44:$E$87,"",FALSE)=AA38,"",_xlfn.XLOOKUP(ROW(AC38)-ROW(AC$32),報告用!$AJ$44:$AJ$87,報告用!$E$44:$E$87,"",FALSE))</f>
        <v>25</v>
      </c>
    </row>
    <row r="39" spans="1:29" ht="32.1" customHeight="1" thickBot="1">
      <c r="A39" s="235"/>
      <c r="B39" s="84" t="str">
        <f>_xlfn.XLOOKUP(ROW(B39)+1-ROW(B$32),報告用!$AC$44:$AC$87,報告用!$F$44:$F$87,"",FALSE)</f>
        <v/>
      </c>
      <c r="C39" s="150" t="str">
        <f>_xlfn.XLOOKUP(ROW(C39)+1-ROW(C$32),報告用!$AC$44:$AC$87,報告用!$G$44:$G$87,"",FALSE)</f>
        <v/>
      </c>
      <c r="D39" s="87" t="str">
        <f>IF(_xlfn.XLOOKUP(ROW(D39)+1-ROW(D$32),報告用!$AC$44:$AC$87,報告用!$E$44:$E$87,"",FALSE)=B39,"",_xlfn.XLOOKUP(ROW(D39)+1-ROW(D$32),報告用!$AC$44:$AC$87,報告用!$E$44:$E$87,"",FALSE))</f>
        <v/>
      </c>
      <c r="F39" s="238"/>
      <c r="G39" s="88">
        <f>_xlfn.XLOOKUP(ROW(G39)+1-ROW(G$32),報告用!$AF$44:$AF$87,報告用!$F$44:$F$87,"",FALSE)</f>
        <v>12</v>
      </c>
      <c r="H39" s="155" t="str">
        <f>_xlfn.XLOOKUP(ROW(H39)+1-ROW(H$32),報告用!$AF$44:$AF$87,報告用!$G$44:$G$87,"",FALSE)</f>
        <v>馬塲 日出子</v>
      </c>
      <c r="I39" s="91" t="str">
        <f>IF(_xlfn.XLOOKUP(ROW(I39)+1-ROW(I$32),報告用!$AF$44:$AF$87,報告用!$E$44:$E$87,"",FALSE)=G39,"",_xlfn.XLOOKUP(ROW(I39)+1-ROW(I$32),報告用!$AF$44:$AF$87,報告用!$E$44:$E$87,"",FALSE))</f>
        <v/>
      </c>
      <c r="J39" s="77"/>
      <c r="K39" s="238"/>
      <c r="L39" s="88">
        <f>_xlfn.XLOOKUP(ROW(L39)+1-ROW(L$32),報告用!$AG$44:$AG$87,報告用!$F$44:$F$87,"",FALSE)</f>
        <v>10</v>
      </c>
      <c r="M39" s="155" t="str">
        <f>_xlfn.XLOOKUP(ROW(M39)+1-ROW(M$32),報告用!$AG$44:$AG$87,報告用!$G$44:$G$87,"",FALSE)</f>
        <v>古屋　桂子</v>
      </c>
      <c r="N39" s="91">
        <f>IF(_xlfn.XLOOKUP(ROW(N39)+1-ROW(N$32),報告用!$AG$44:$AG$87,報告用!$E$44:$E$87,"",FALSE)=L39,"",_xlfn.XLOOKUP(ROW(N39)+1-ROW(N$32),報告用!$AG$44:$AG$87,報告用!$E$44:$E$87,"",FALSE))</f>
        <v>12</v>
      </c>
      <c r="P39" s="238"/>
      <c r="Q39" s="88">
        <f>_xlfn.XLOOKUP(ROW(Q39)+1-ROW(Q$32),報告用!$AH$44:$AH$87,報告用!$F$44:$F$87,"",FALSE)</f>
        <v>12</v>
      </c>
      <c r="R39" s="155" t="str">
        <f>_xlfn.XLOOKUP(ROW(R39)+1-ROW(R$32),報告用!$AH$44:$AH$87,報告用!$G$44:$G$87,"",FALSE)</f>
        <v>馬塲 日出子</v>
      </c>
      <c r="S39" s="91" t="str">
        <f>IF(_xlfn.XLOOKUP(ROW(S39)+1-ROW(S$32),報告用!$AH$44:$AH$87,報告用!$E$44:$E$87,"",FALSE)=Q39,"",_xlfn.XLOOKUP(ROW(S39)+1-ROW(S$32),報告用!$AH$44:$AH$87,報告用!$E$44:$E$87,"",FALSE))</f>
        <v/>
      </c>
      <c r="U39" s="238"/>
      <c r="V39" s="88" t="str">
        <f>_xlfn.XLOOKUP(ROW(V39)+1-ROW(V$32),報告用!$AI$44:$AI$87,報告用!$F$44:$F$87,"",FALSE)</f>
        <v/>
      </c>
      <c r="W39" s="155" t="str">
        <f>_xlfn.XLOOKUP(ROW(W39)+1-ROW(W$32),報告用!$AI$44:$AI$87,報告用!$G$44:$G$87,"",FALSE)</f>
        <v/>
      </c>
      <c r="X39" s="91" t="str">
        <f>IF(_xlfn.XLOOKUP(ROW(X39)+1-ROW(X$32),報告用!$AI$44:$AI$87,報告用!$E$44:$E$87,"",FALSE)=V39,"",_xlfn.XLOOKUP(ROW(X39)+1-ROW(X$32),報告用!$AI$44:$AI$87,報告用!$E$44:$E$87,"",FALSE))</f>
        <v/>
      </c>
      <c r="Y39" s="77"/>
      <c r="Z39" s="238"/>
      <c r="AA39" s="88">
        <f>_xlfn.XLOOKUP(ROW(AA39)+1-ROW(AA$32),報告用!$AJ$44:$AJ$87,報告用!$F$44:$F$87,"",FALSE)</f>
        <v>10</v>
      </c>
      <c r="AB39" s="155" t="str">
        <f>_xlfn.XLOOKUP(ROW(AB39)+1-ROW(AB$32),報告用!$AJ$44:$AJ$87,報告用!$G$44:$G$87,"",FALSE)</f>
        <v>古屋　桂子</v>
      </c>
      <c r="AC39" s="91">
        <f>IF(_xlfn.XLOOKUP(ROW(AC39)+1-ROW(AC$32),報告用!$AJ$44:$AJ$87,報告用!$E$44:$E$87,"",FALSE)=AA39,"",_xlfn.XLOOKUP(ROW(AC39)-ROW(AC$32),報告用!$AJ$44:$AJ$87,報告用!$E$44:$E$87,"",FALSE))</f>
        <v>5</v>
      </c>
    </row>
    <row r="40" spans="1:29" ht="32.1" customHeight="1" thickTop="1">
      <c r="A40" s="235"/>
      <c r="B40" s="84" t="str">
        <f>_xlfn.XLOOKUP(ROW(B40)+1-ROW(B$32),報告用!$AC$44:$AC$87,報告用!$F$44:$F$87,"",FALSE)</f>
        <v/>
      </c>
      <c r="C40" s="150" t="str">
        <f>_xlfn.XLOOKUP(ROW(C40)+1-ROW(C$32),報告用!$AC$44:$AC$87,報告用!$G$44:$G$87,"",FALSE)</f>
        <v/>
      </c>
      <c r="D40" s="87" t="str">
        <f>IF(_xlfn.XLOOKUP(ROW(D40)+1-ROW(D$32),報告用!$AC$44:$AC$87,報告用!$E$44:$E$87,"",FALSE)=B40,"",_xlfn.XLOOKUP(ROW(D40)+1-ROW(D$32),報告用!$AC$44:$AC$87,報告用!$E$44:$E$87,"",FALSE))</f>
        <v/>
      </c>
      <c r="F40" s="239" t="s">
        <v>25</v>
      </c>
      <c r="G40" s="92">
        <f>_xlfn.XLOOKUP(ROW(G40)+1-ROW(G$40),報告用!$AK$44:$AK$87,報告用!$F$44:$F$87,"",FALSE)</f>
        <v>23</v>
      </c>
      <c r="H40" s="151" t="str">
        <f>_xlfn.XLOOKUP(ROW(H40)+1-ROW(H$40),報告用!$AK$44:$AK$87,報告用!$G$44:$G$87,"",FALSE)</f>
        <v>森下計二</v>
      </c>
      <c r="I40" s="95" t="str">
        <f>IF(_xlfn.XLOOKUP(ROW(I40)+1-ROW(I$40),報告用!$AK$44:$AK$87,報告用!$E$44:$E$87,"",FALSE)=G40,"",_xlfn.XLOOKUP(ROW(I40)+1-ROW(I$40),報告用!$AK$44:$AK$87,報告用!$E$44:$E$87,"",FALSE))</f>
        <v/>
      </c>
      <c r="J40" s="77"/>
      <c r="K40" s="239" t="s">
        <v>25</v>
      </c>
      <c r="L40" s="92">
        <f>_xlfn.XLOOKUP(ROW(L40)+1-ROW(L$40),報告用!$AL$44:$AL$87,報告用!$F$44:$F$87,"",FALSE)</f>
        <v>23</v>
      </c>
      <c r="M40" s="151" t="str">
        <f>_xlfn.XLOOKUP(ROW(M40)+1-ROW(M$40),報告用!$AL$44:$AL$87,報告用!$G$44:$G$87,"",FALSE)</f>
        <v>森下計二</v>
      </c>
      <c r="N40" s="95" t="str">
        <f>IF(_xlfn.XLOOKUP(ROW(N40)+1-ROW(N$40),報告用!$AL$44:$AL$87,報告用!$E$44:$E$87,"",FALSE)=L40,"",_xlfn.XLOOKUP(ROW(N40)+1-ROW(N$40),報告用!$AL$44:$AL$87,報告用!$E$44:$E$87,"",FALSE))</f>
        <v/>
      </c>
      <c r="P40" s="239" t="s">
        <v>25</v>
      </c>
      <c r="Q40" s="92">
        <f>_xlfn.XLOOKUP(ROW(Q40)+1-ROW(Q$40),報告用!$AM$44:$AM$87,報告用!$F$44:$F$87,"",FALSE)</f>
        <v>23</v>
      </c>
      <c r="R40" s="151" t="str">
        <f>_xlfn.XLOOKUP(ROW(R40)+1-ROW(R$40),報告用!$AM$44:$AM$87,報告用!$G$44:$G$87,"",FALSE)</f>
        <v>森下計二</v>
      </c>
      <c r="S40" s="95" t="str">
        <f>IF(_xlfn.XLOOKUP(ROW(S40)+1-ROW(S$40),報告用!$AM$44:$AM$87,報告用!$E$44:$E$87,"",FALSE)=Q40,"",_xlfn.XLOOKUP(ROW(S40)+1-ROW(S$40),報告用!$AM$44:$AM$87,報告用!$E$44:$E$87,"",FALSE))</f>
        <v/>
      </c>
      <c r="U40" s="239" t="s">
        <v>25</v>
      </c>
      <c r="V40" s="92">
        <f>_xlfn.XLOOKUP(ROW(V40)+1-ROW(V$40),報告用!$AN$44:$AN$87,報告用!$F$44:$F$87,"",FALSE)</f>
        <v>23</v>
      </c>
      <c r="W40" s="151" t="str">
        <f>_xlfn.XLOOKUP(ROW(W40)+1-ROW(W$40),報告用!$AN$44:$AN$87,報告用!$G$44:$G$87,"",FALSE)</f>
        <v>森下計二</v>
      </c>
      <c r="X40" s="95" t="str">
        <f>IF(_xlfn.XLOOKUP(ROW(X40)+1-ROW(X$40),報告用!$AN$44:$AN$87,報告用!$E$44:$E$87,"",FALSE)=V40,"",_xlfn.XLOOKUP(ROW(X40)+1-ROW(X$40),報告用!$AN$44:$AN$87,報告用!$E$44:$E$87,"",FALSE))</f>
        <v/>
      </c>
      <c r="Y40" s="77"/>
      <c r="Z40" s="239" t="s">
        <v>25</v>
      </c>
      <c r="AA40" s="92">
        <f>_xlfn.XLOOKUP(ROW(AA40)+1-ROW(AA$40),報告用!$AO$44:$AO$87,報告用!$F$44:$F$87,"",FALSE)</f>
        <v>23</v>
      </c>
      <c r="AB40" s="151" t="str">
        <f>_xlfn.XLOOKUP(ROW(AB40)+1-ROW(AB$40),報告用!$AO$44:$AO$87,報告用!$G$44:$G$87,"",FALSE)</f>
        <v>森下計二</v>
      </c>
      <c r="AC40" s="95" t="str">
        <f>IF(_xlfn.XLOOKUP(ROW(AC40)+1-ROW(AC$40),報告用!$AO$44:$AO$87,報告用!$E$44:$E$87,"",FALSE)=AA40,"",_xlfn.XLOOKUP(ROW(AC40)+1-ROW(AC$40),報告用!$AO$44:$AO$87,報告用!$E$44:$E$87,"",FALSE))</f>
        <v/>
      </c>
    </row>
    <row r="41" spans="1:29" ht="32.1" customHeight="1">
      <c r="A41" s="235"/>
      <c r="B41" s="84" t="str">
        <f>_xlfn.XLOOKUP(ROW(B41)+1-ROW(B$32),報告用!$AC$44:$AC$87,報告用!$F$44:$F$87,"",FALSE)</f>
        <v/>
      </c>
      <c r="C41" s="150" t="str">
        <f>_xlfn.XLOOKUP(ROW(C41)+1-ROW(C$32),報告用!$AC$44:$AC$87,報告用!$G$44:$G$87,"",FALSE)</f>
        <v/>
      </c>
      <c r="D41" s="87" t="str">
        <f>IF(_xlfn.XLOOKUP(ROW(D41)+1-ROW(D$32),報告用!$AC$44:$AC$87,報告用!$E$44:$E$87,"",FALSE)=B41,"",_xlfn.XLOOKUP(ROW(D41)+1-ROW(D$32),報告用!$AC$44:$AC$87,報告用!$E$44:$E$87,"",FALSE))</f>
        <v/>
      </c>
      <c r="F41" s="237"/>
      <c r="G41" s="92">
        <f>_xlfn.XLOOKUP(ROW(G41)+1-ROW(G$40),報告用!$AK$44:$AK$87,報告用!$F$44:$F$87,"",FALSE)</f>
        <v>23</v>
      </c>
      <c r="H41" s="151" t="str">
        <f>_xlfn.XLOOKUP(ROW(H41)+1-ROW(H$40),報告用!$AK$44:$AK$87,報告用!$G$44:$G$87,"",FALSE)</f>
        <v>遠山　貞一</v>
      </c>
      <c r="I41" s="95" t="str">
        <f>IF(_xlfn.XLOOKUP(ROW(I41)+1-ROW(I$40),報告用!$AK$44:$AK$87,報告用!$E$44:$E$87,"",FALSE)=G41,"",_xlfn.XLOOKUP(ROW(I41)+1-ROW(I$40),報告用!$AK$44:$AK$87,報告用!$E$44:$E$87,"",FALSE))</f>
        <v/>
      </c>
      <c r="J41" s="77"/>
      <c r="K41" s="237"/>
      <c r="L41" s="92">
        <f>_xlfn.XLOOKUP(ROW(L41)+1-ROW(L$40),報告用!$AL$44:$AL$87,報告用!$F$44:$F$87,"",FALSE)</f>
        <v>23</v>
      </c>
      <c r="M41" s="151" t="str">
        <f>_xlfn.XLOOKUP(ROW(M41)+1-ROW(M$40),報告用!$AL$44:$AL$87,報告用!$G$44:$G$87,"",FALSE)</f>
        <v>遠山　貞一</v>
      </c>
      <c r="N41" s="95" t="str">
        <f>IF(_xlfn.XLOOKUP(ROW(N41)+1-ROW(N$40),報告用!$AL$44:$AL$87,報告用!$E$44:$E$87,"",FALSE)=L41,"",_xlfn.XLOOKUP(ROW(N41)+1-ROW(N$40),報告用!$AL$44:$AL$87,報告用!$E$44:$E$87,"",FALSE))</f>
        <v/>
      </c>
      <c r="P41" s="237"/>
      <c r="Q41" s="92">
        <f>_xlfn.XLOOKUP(ROW(Q41)+1-ROW(Q$40),報告用!$AM$44:$AM$87,報告用!$F$44:$F$87,"",FALSE)</f>
        <v>23</v>
      </c>
      <c r="R41" s="151" t="str">
        <f>_xlfn.XLOOKUP(ROW(R41)+1-ROW(R$40),報告用!$AM$44:$AM$87,報告用!$G$44:$G$87,"",FALSE)</f>
        <v>遠山　貞一</v>
      </c>
      <c r="S41" s="95" t="str">
        <f>IF(_xlfn.XLOOKUP(ROW(S41)+1-ROW(S$40),報告用!$AM$44:$AM$87,報告用!$E$44:$E$87,"",FALSE)=Q41,"",_xlfn.XLOOKUP(ROW(S41)+1-ROW(S$40),報告用!$AM$44:$AM$87,報告用!$E$44:$E$87,"",FALSE))</f>
        <v/>
      </c>
      <c r="U41" s="237"/>
      <c r="V41" s="92">
        <f>_xlfn.XLOOKUP(ROW(V41)+1-ROW(V$40),報告用!$AN$44:$AN$87,報告用!$F$44:$F$87,"",FALSE)</f>
        <v>23</v>
      </c>
      <c r="W41" s="151" t="str">
        <f>_xlfn.XLOOKUP(ROW(W41)+1-ROW(W$40),報告用!$AN$44:$AN$87,報告用!$G$44:$G$87,"",FALSE)</f>
        <v>遠山　貞一</v>
      </c>
      <c r="X41" s="95" t="str">
        <f>IF(_xlfn.XLOOKUP(ROW(X41)+1-ROW(X$40),報告用!$AN$44:$AN$87,報告用!$E$44:$E$87,"",FALSE)=V41,"",_xlfn.XLOOKUP(ROW(X41)+1-ROW(X$40),報告用!$AN$44:$AN$87,報告用!$E$44:$E$87,"",FALSE))</f>
        <v/>
      </c>
      <c r="Y41" s="77"/>
      <c r="Z41" s="237"/>
      <c r="AA41" s="92">
        <f>_xlfn.XLOOKUP(ROW(AA41)+1-ROW(AA$40),報告用!$AO$44:$AO$87,報告用!$F$44:$F$87,"",FALSE)</f>
        <v>23</v>
      </c>
      <c r="AB41" s="151" t="str">
        <f>_xlfn.XLOOKUP(ROW(AB41)+1-ROW(AB$40),報告用!$AO$44:$AO$87,報告用!$G$44:$G$87,"",FALSE)</f>
        <v>遠山　貞一</v>
      </c>
      <c r="AC41" s="95" t="str">
        <f>IF(_xlfn.XLOOKUP(ROW(AC41)+1-ROW(AC$40),報告用!$AO$44:$AO$87,報告用!$E$44:$E$87,"",FALSE)=AA41,"",_xlfn.XLOOKUP(ROW(AC41)+1-ROW(AC$40),報告用!$AO$44:$AO$87,報告用!$E$44:$E$87,"",FALSE))</f>
        <v/>
      </c>
    </row>
    <row r="42" spans="1:29" ht="32.1" customHeight="1">
      <c r="A42" s="235"/>
      <c r="B42" s="84" t="str">
        <f>_xlfn.XLOOKUP(ROW(B42)+1-ROW(B$32),報告用!$AC$44:$AC$87,報告用!$F$44:$F$87,"",FALSE)</f>
        <v/>
      </c>
      <c r="C42" s="150" t="str">
        <f>_xlfn.XLOOKUP(ROW(C42)+1-ROW(C$32),報告用!$AC$44:$AC$87,報告用!$G$44:$G$87,"",FALSE)</f>
        <v/>
      </c>
      <c r="D42" s="87" t="str">
        <f>IF(_xlfn.XLOOKUP(ROW(D42)+1-ROW(D$32),報告用!$AC$44:$AC$87,報告用!$E$44:$E$87,"",FALSE)=B42,"",_xlfn.XLOOKUP(ROW(D42)+1-ROW(D$32),報告用!$AC$44:$AC$87,報告用!$E$44:$E$87,"",FALSE))</f>
        <v/>
      </c>
      <c r="F42" s="237"/>
      <c r="G42" s="92">
        <f>_xlfn.XLOOKUP(ROW(G42)+1-ROW(G$40),報告用!$AK$44:$AK$87,報告用!$F$44:$F$87,"",FALSE)</f>
        <v>25</v>
      </c>
      <c r="H42" s="151" t="str">
        <f>_xlfn.XLOOKUP(ROW(H42)+1-ROW(H$40),報告用!$AK$44:$AK$87,報告用!$G$44:$G$87,"",FALSE)</f>
        <v>千野　周恵</v>
      </c>
      <c r="I42" s="95" t="str">
        <f>IF(_xlfn.XLOOKUP(ROW(I42)+1-ROW(I$40),報告用!$AK$44:$AK$87,報告用!$E$44:$E$87,"",FALSE)=G42,"",_xlfn.XLOOKUP(ROW(I42)+1-ROW(I$40),報告用!$AK$44:$AK$87,報告用!$E$44:$E$87,"",FALSE))</f>
        <v/>
      </c>
      <c r="J42" s="77"/>
      <c r="K42" s="237"/>
      <c r="L42" s="92">
        <f>_xlfn.XLOOKUP(ROW(L42)+1-ROW(L$40),報告用!$AL$44:$AL$87,報告用!$F$44:$F$87,"",FALSE)</f>
        <v>25</v>
      </c>
      <c r="M42" s="151" t="str">
        <f>_xlfn.XLOOKUP(ROW(M42)+1-ROW(M$40),報告用!$AL$44:$AL$87,報告用!$G$44:$G$87,"",FALSE)</f>
        <v>千野　周恵</v>
      </c>
      <c r="N42" s="95" t="str">
        <f>IF(_xlfn.XLOOKUP(ROW(N42)+1-ROW(N$40),報告用!$AL$44:$AL$87,報告用!$E$44:$E$87,"",FALSE)=L42,"",_xlfn.XLOOKUP(ROW(N42)+1-ROW(N$40),報告用!$AL$44:$AL$87,報告用!$E$44:$E$87,"",FALSE))</f>
        <v/>
      </c>
      <c r="P42" s="237"/>
      <c r="Q42" s="92">
        <f>_xlfn.XLOOKUP(ROW(Q42)+1-ROW(Q$40),報告用!$AM$44:$AM$87,報告用!$F$44:$F$87,"",FALSE)</f>
        <v>25</v>
      </c>
      <c r="R42" s="151" t="str">
        <f>_xlfn.XLOOKUP(ROW(R42)+1-ROW(R$40),報告用!$AM$44:$AM$87,報告用!$G$44:$G$87,"",FALSE)</f>
        <v>千野　周恵</v>
      </c>
      <c r="S42" s="95" t="str">
        <f>IF(_xlfn.XLOOKUP(ROW(S42)+1-ROW(S$40),報告用!$AM$44:$AM$87,報告用!$E$44:$E$87,"",FALSE)=Q42,"",_xlfn.XLOOKUP(ROW(S42)+1-ROW(S$40),報告用!$AM$44:$AM$87,報告用!$E$44:$E$87,"",FALSE))</f>
        <v/>
      </c>
      <c r="U42" s="237"/>
      <c r="V42" s="92">
        <f>_xlfn.XLOOKUP(ROW(V42)+1-ROW(V$40),報告用!$AN$44:$AN$87,報告用!$F$44:$F$87,"",FALSE)</f>
        <v>25</v>
      </c>
      <c r="W42" s="151" t="str">
        <f>_xlfn.XLOOKUP(ROW(W42)+1-ROW(W$40),報告用!$AN$44:$AN$87,報告用!$G$44:$G$87,"",FALSE)</f>
        <v>千野　周恵</v>
      </c>
      <c r="X42" s="95" t="str">
        <f>IF(_xlfn.XLOOKUP(ROW(X42)+1-ROW(X$40),報告用!$AN$44:$AN$87,報告用!$E$44:$E$87,"",FALSE)=V42,"",_xlfn.XLOOKUP(ROW(X42)+1-ROW(X$40),報告用!$AN$44:$AN$87,報告用!$E$44:$E$87,"",FALSE))</f>
        <v/>
      </c>
      <c r="Y42" s="77"/>
      <c r="Z42" s="237"/>
      <c r="AA42" s="92">
        <f>_xlfn.XLOOKUP(ROW(AA42)+1-ROW(AA$40),報告用!$AO$44:$AO$87,報告用!$F$44:$F$87,"",FALSE)</f>
        <v>25</v>
      </c>
      <c r="AB42" s="151" t="str">
        <f>_xlfn.XLOOKUP(ROW(AB42)+1-ROW(AB$40),報告用!$AO$44:$AO$87,報告用!$G$44:$G$87,"",FALSE)</f>
        <v>千野　周恵</v>
      </c>
      <c r="AC42" s="95" t="str">
        <f>IF(_xlfn.XLOOKUP(ROW(AC42)+1-ROW(AC$40),報告用!$AO$44:$AO$87,報告用!$E$44:$E$87,"",FALSE)=AA42,"",_xlfn.XLOOKUP(ROW(AC42)+1-ROW(AC$40),報告用!$AO$44:$AO$87,報告用!$E$44:$E$87,"",FALSE))</f>
        <v/>
      </c>
    </row>
    <row r="43" spans="1:29" ht="32.1" customHeight="1" thickBot="1">
      <c r="A43" s="230"/>
      <c r="B43" s="88" t="str">
        <f>_xlfn.XLOOKUP(ROW(B43)+1-ROW(B$32),報告用!$AC$44:$AC$87,報告用!$F$44:$F$87,"",FALSE)</f>
        <v/>
      </c>
      <c r="C43" s="155" t="str">
        <f>_xlfn.XLOOKUP(ROW(C43)+1-ROW(C$32),報告用!$AC$44:$AC$87,報告用!$G$44:$G$87,"",FALSE)</f>
        <v/>
      </c>
      <c r="D43" s="91" t="str">
        <f>IF(_xlfn.XLOOKUP(ROW(D43)+1-ROW(D$32),報告用!$AC$44:$AC$87,報告用!$E$44:$E$87,"",FALSE)=B43,"",_xlfn.XLOOKUP(ROW(D43)+1-ROW(D$32),報告用!$AC$44:$AC$87,報告用!$E$44:$E$87,"",FALSE))</f>
        <v/>
      </c>
      <c r="F43" s="237"/>
      <c r="G43" s="92">
        <f>_xlfn.XLOOKUP(ROW(G43)+1-ROW(G$40),報告用!$AK$44:$AK$87,報告用!$F$44:$F$87,"",FALSE)</f>
        <v>25</v>
      </c>
      <c r="H43" s="151" t="str">
        <f>_xlfn.XLOOKUP(ROW(H43)+1-ROW(H$40),報告用!$AK$44:$AK$87,報告用!$G$44:$G$87,"",FALSE)</f>
        <v>鈴木　賢浄</v>
      </c>
      <c r="I43" s="95" t="str">
        <f>IF(_xlfn.XLOOKUP(ROW(I43)+1-ROW(I$40),報告用!$AK$44:$AK$87,報告用!$E$44:$E$87,"",FALSE)=G43,"",_xlfn.XLOOKUP(ROW(I43)+1-ROW(I$40),報告用!$AK$44:$AK$87,報告用!$E$44:$E$87,"",FALSE))</f>
        <v/>
      </c>
      <c r="J43" s="77"/>
      <c r="K43" s="237"/>
      <c r="L43" s="92">
        <f>_xlfn.XLOOKUP(ROW(L43)+1-ROW(L$40),報告用!$AL$44:$AL$87,報告用!$F$44:$F$87,"",FALSE)</f>
        <v>25</v>
      </c>
      <c r="M43" s="151" t="str">
        <f>_xlfn.XLOOKUP(ROW(M43)+1-ROW(M$40),報告用!$AL$44:$AL$87,報告用!$G$44:$G$87,"",FALSE)</f>
        <v>鈴木　賢浄</v>
      </c>
      <c r="N43" s="95" t="str">
        <f>IF(_xlfn.XLOOKUP(ROW(N43)+1-ROW(N$40),報告用!$AL$44:$AL$87,報告用!$E$44:$E$87,"",FALSE)=L43,"",_xlfn.XLOOKUP(ROW(N43)+1-ROW(N$40),報告用!$AL$44:$AL$87,報告用!$E$44:$E$87,"",FALSE))</f>
        <v/>
      </c>
      <c r="P43" s="237"/>
      <c r="Q43" s="92">
        <f>_xlfn.XLOOKUP(ROW(Q43)+1-ROW(Q$40),報告用!$AM$44:$AM$87,報告用!$F$44:$F$87,"",FALSE)</f>
        <v>25</v>
      </c>
      <c r="R43" s="151" t="str">
        <f>_xlfn.XLOOKUP(ROW(R43)+1-ROW(R$40),報告用!$AM$44:$AM$87,報告用!$G$44:$G$87,"",FALSE)</f>
        <v>鈴木　賢浄</v>
      </c>
      <c r="S43" s="95" t="str">
        <f>IF(_xlfn.XLOOKUP(ROW(S43)+1-ROW(S$40),報告用!$AM$44:$AM$87,報告用!$E$44:$E$87,"",FALSE)=Q43,"",_xlfn.XLOOKUP(ROW(S43)+1-ROW(S$40),報告用!$AM$44:$AM$87,報告用!$E$44:$E$87,"",FALSE))</f>
        <v/>
      </c>
      <c r="U43" s="237"/>
      <c r="V43" s="92">
        <f>_xlfn.XLOOKUP(ROW(V43)+1-ROW(V$40),報告用!$AN$44:$AN$87,報告用!$F$44:$F$87,"",FALSE)</f>
        <v>25</v>
      </c>
      <c r="W43" s="151" t="str">
        <f>_xlfn.XLOOKUP(ROW(W43)+1-ROW(W$40),報告用!$AN$44:$AN$87,報告用!$G$44:$G$87,"",FALSE)</f>
        <v>鈴木　賢浄</v>
      </c>
      <c r="X43" s="95" t="str">
        <f>IF(_xlfn.XLOOKUP(ROW(X43)+1-ROW(X$40),報告用!$AN$44:$AN$87,報告用!$E$44:$E$87,"",FALSE)=V43,"",_xlfn.XLOOKUP(ROW(X43)+1-ROW(X$40),報告用!$AN$44:$AN$87,報告用!$E$44:$E$87,"",FALSE))</f>
        <v/>
      </c>
      <c r="Y43" s="77"/>
      <c r="Z43" s="237"/>
      <c r="AA43" s="92">
        <f>_xlfn.XLOOKUP(ROW(AA43)+1-ROW(AA$40),報告用!$AO$44:$AO$87,報告用!$F$44:$F$87,"",FALSE)</f>
        <v>25</v>
      </c>
      <c r="AB43" s="151" t="str">
        <f>_xlfn.XLOOKUP(ROW(AB43)+1-ROW(AB$40),報告用!$AO$44:$AO$87,報告用!$G$44:$G$87,"",FALSE)</f>
        <v>鈴木　賢浄</v>
      </c>
      <c r="AC43" s="95" t="str">
        <f>IF(_xlfn.XLOOKUP(ROW(AC43)+1-ROW(AC$40),報告用!$AO$44:$AO$87,報告用!$E$44:$E$87,"",FALSE)=AA43,"",_xlfn.XLOOKUP(ROW(AC43)+1-ROW(AC$40),報告用!$AO$44:$AO$87,報告用!$E$44:$E$87,"",FALSE))</f>
        <v/>
      </c>
    </row>
    <row r="44" spans="1:29" ht="32.1" customHeight="1" thickTop="1">
      <c r="A44" s="242" t="s">
        <v>107</v>
      </c>
      <c r="B44" s="92">
        <f>_xlfn.XLOOKUP(ROW(B44)+1-ROW(B$44),報告用!$AD$44:$AD$87,報告用!$F$44:$F$87,"",FALSE)</f>
        <v>25</v>
      </c>
      <c r="C44" s="151" t="str">
        <f>_xlfn.XLOOKUP(ROW(C44)+1-ROW(C$44),報告用!$AD$44:$AD$87,報告用!$G$44:$G$87,"",FALSE)</f>
        <v>千野　周恵</v>
      </c>
      <c r="D44" s="95" t="str">
        <f>IF(_xlfn.XLOOKUP(ROW(D44)+1-ROW(D$44),報告用!$AD$44:$AD$87,報告用!$E$44:$E$87,"",FALSE)=B44,"",_xlfn.XLOOKUP(ROW(D44)+1-ROW(D$44),報告用!$AD$44:$AD$87,報告用!$E$44:$E$87,"",FALSE))</f>
        <v/>
      </c>
      <c r="F44" s="237"/>
      <c r="G44" s="92">
        <f>_xlfn.XLOOKUP(ROW(G44)+1-ROW(G$40),報告用!$AK$44:$AK$87,報告用!$F$44:$F$87,"",FALSE)</f>
        <v>25</v>
      </c>
      <c r="H44" s="151" t="str">
        <f>_xlfn.XLOOKUP(ROW(H44)+1-ROW(H$40),報告用!$AK$44:$AK$87,報告用!$G$44:$G$87,"",FALSE)</f>
        <v>渡邉　和洋</v>
      </c>
      <c r="I44" s="95" t="str">
        <f>IF(_xlfn.XLOOKUP(ROW(I44)+1-ROW(I$40),報告用!$AK$44:$AK$87,報告用!$E$44:$E$87,"",FALSE)=G44,"",_xlfn.XLOOKUP(ROW(I44)+1-ROW(I$40),報告用!$AK$44:$AK$87,報告用!$E$44:$E$87,"",FALSE))</f>
        <v/>
      </c>
      <c r="J44" s="77"/>
      <c r="K44" s="237"/>
      <c r="L44" s="92">
        <f>_xlfn.XLOOKUP(ROW(L44)+1-ROW(L$40),報告用!$AL$44:$AL$87,報告用!$F$44:$F$87,"",FALSE)</f>
        <v>25</v>
      </c>
      <c r="M44" s="151" t="str">
        <f>_xlfn.XLOOKUP(ROW(M44)+1-ROW(M$40),報告用!$AL$44:$AL$87,報告用!$G$44:$G$87,"",FALSE)</f>
        <v>渡邉　和洋</v>
      </c>
      <c r="N44" s="95" t="str">
        <f>IF(_xlfn.XLOOKUP(ROW(N44)+1-ROW(N$40),報告用!$AL$44:$AL$87,報告用!$E$44:$E$87,"",FALSE)=L44,"",_xlfn.XLOOKUP(ROW(N44)+1-ROW(N$40),報告用!$AL$44:$AL$87,報告用!$E$44:$E$87,"",FALSE))</f>
        <v/>
      </c>
      <c r="P44" s="237"/>
      <c r="Q44" s="92">
        <f>_xlfn.XLOOKUP(ROW(Q44)+1-ROW(Q$40),報告用!$AM$44:$AM$87,報告用!$F$44:$F$87,"",FALSE)</f>
        <v>25</v>
      </c>
      <c r="R44" s="151" t="str">
        <f>_xlfn.XLOOKUP(ROW(R44)+1-ROW(R$40),報告用!$AM$44:$AM$87,報告用!$G$44:$G$87,"",FALSE)</f>
        <v>渡邉　和洋</v>
      </c>
      <c r="S44" s="95" t="str">
        <f>IF(_xlfn.XLOOKUP(ROW(S44)+1-ROW(S$40),報告用!$AM$44:$AM$87,報告用!$E$44:$E$87,"",FALSE)=Q44,"",_xlfn.XLOOKUP(ROW(S44)+1-ROW(S$40),報告用!$AM$44:$AM$87,報告用!$E$44:$E$87,"",FALSE))</f>
        <v/>
      </c>
      <c r="U44" s="237"/>
      <c r="V44" s="92">
        <f>_xlfn.XLOOKUP(ROW(V44)+1-ROW(V$40),報告用!$AN$44:$AN$87,報告用!$F$44:$F$87,"",FALSE)</f>
        <v>25</v>
      </c>
      <c r="W44" s="151" t="str">
        <f>_xlfn.XLOOKUP(ROW(W44)+1-ROW(W$40),報告用!$AN$44:$AN$87,報告用!$G$44:$G$87,"",FALSE)</f>
        <v>渡邉　和洋</v>
      </c>
      <c r="X44" s="95" t="str">
        <f>IF(_xlfn.XLOOKUP(ROW(X44)+1-ROW(X$40),報告用!$AN$44:$AN$87,報告用!$E$44:$E$87,"",FALSE)=V44,"",_xlfn.XLOOKUP(ROW(X44)+1-ROW(X$40),報告用!$AN$44:$AN$87,報告用!$E$44:$E$87,"",FALSE))</f>
        <v/>
      </c>
      <c r="Y44" s="77"/>
      <c r="Z44" s="237"/>
      <c r="AA44" s="92">
        <f>_xlfn.XLOOKUP(ROW(AA44)+1-ROW(AA$40),報告用!$AO$44:$AO$87,報告用!$F$44:$F$87,"",FALSE)</f>
        <v>25</v>
      </c>
      <c r="AB44" s="151" t="str">
        <f>_xlfn.XLOOKUP(ROW(AB44)+1-ROW(AB$40),報告用!$AO$44:$AO$87,報告用!$G$44:$G$87,"",FALSE)</f>
        <v>渡邉　和洋</v>
      </c>
      <c r="AC44" s="95" t="str">
        <f>IF(_xlfn.XLOOKUP(ROW(AC44)+1-ROW(AC$40),報告用!$AO$44:$AO$87,報告用!$E$44:$E$87,"",FALSE)=AA44,"",_xlfn.XLOOKUP(ROW(AC44)+1-ROW(AC$40),報告用!$AO$44:$AO$87,報告用!$E$44:$E$87,"",FALSE))</f>
        <v/>
      </c>
    </row>
    <row r="45" spans="1:29" ht="32.1" customHeight="1">
      <c r="A45" s="235"/>
      <c r="B45" s="92">
        <f>_xlfn.XLOOKUP(ROW(B45)+1-ROW(B$44),報告用!$AD$44:$AD$87,報告用!$F$44:$F$87,"",FALSE)</f>
        <v>2</v>
      </c>
      <c r="C45" s="151" t="str">
        <f>_xlfn.XLOOKUP(ROW(C45)+1-ROW(C$44),報告用!$AD$44:$AD$87,報告用!$G$44:$G$87,"",FALSE)</f>
        <v>小林　登志子</v>
      </c>
      <c r="D45" s="95" t="str">
        <f>IF(_xlfn.XLOOKUP(ROW(D45)+1-ROW(D$44),報告用!$AD$44:$AD$87,報告用!$E$44:$E$87,"",FALSE)=B45,"",_xlfn.XLOOKUP(ROW(D45)+1-ROW(D$44),報告用!$AD$44:$AD$87,報告用!$E$44:$E$87,"",FALSE))</f>
        <v/>
      </c>
      <c r="F45" s="237"/>
      <c r="G45" s="92">
        <f>_xlfn.XLOOKUP(ROW(G45)+1-ROW(G$40),報告用!$AK$44:$AK$87,報告用!$F$44:$F$87,"",FALSE)</f>
        <v>25</v>
      </c>
      <c r="H45" s="151" t="str">
        <f>_xlfn.XLOOKUP(ROW(H45)+1-ROW(H$40),報告用!$AK$44:$AK$87,報告用!$G$44:$G$87,"",FALSE)</f>
        <v>内藤　範治</v>
      </c>
      <c r="I45" s="95">
        <f>IF(_xlfn.XLOOKUP(ROW(I45)+1-ROW(I$40),報告用!$AK$44:$AK$87,報告用!$E$44:$E$87,"",FALSE)=G45,"",_xlfn.XLOOKUP(ROW(I45)+1-ROW(I$40),報告用!$AK$44:$AK$87,報告用!$E$44:$E$87,"",FALSE))</f>
        <v>2</v>
      </c>
      <c r="J45" s="77"/>
      <c r="K45" s="237"/>
      <c r="L45" s="92">
        <f>_xlfn.XLOOKUP(ROW(L45)+1-ROW(L$40),報告用!$AL$44:$AL$87,報告用!$F$44:$F$87,"",FALSE)</f>
        <v>25</v>
      </c>
      <c r="M45" s="151" t="str">
        <f>_xlfn.XLOOKUP(ROW(M45)+1-ROW(M$40),報告用!$AL$44:$AL$87,報告用!$G$44:$G$87,"",FALSE)</f>
        <v>内藤　範治</v>
      </c>
      <c r="N45" s="95">
        <f>IF(_xlfn.XLOOKUP(ROW(N45)+1-ROW(N$40),報告用!$AL$44:$AL$87,報告用!$E$44:$E$87,"",FALSE)=L45,"",_xlfn.XLOOKUP(ROW(N45)+1-ROW(N$40),報告用!$AL$44:$AL$87,報告用!$E$44:$E$87,"",FALSE))</f>
        <v>2</v>
      </c>
      <c r="P45" s="237"/>
      <c r="Q45" s="92">
        <f>_xlfn.XLOOKUP(ROW(Q45)+1-ROW(Q$40),報告用!$AM$44:$AM$87,報告用!$F$44:$F$87,"",FALSE)</f>
        <v>25</v>
      </c>
      <c r="R45" s="151" t="str">
        <f>_xlfn.XLOOKUP(ROW(R45)+1-ROW(R$40),報告用!$AM$44:$AM$87,報告用!$G$44:$G$87,"",FALSE)</f>
        <v>内藤　範治</v>
      </c>
      <c r="S45" s="95">
        <f>IF(_xlfn.XLOOKUP(ROW(S45)+1-ROW(S$40),報告用!$AM$44:$AM$87,報告用!$E$44:$E$87,"",FALSE)=Q45,"",_xlfn.XLOOKUP(ROW(S45)+1-ROW(S$40),報告用!$AM$44:$AM$87,報告用!$E$44:$E$87,"",FALSE))</f>
        <v>2</v>
      </c>
      <c r="U45" s="237"/>
      <c r="V45" s="92">
        <f>_xlfn.XLOOKUP(ROW(V45)+1-ROW(V$40),報告用!$AN$44:$AN$87,報告用!$F$44:$F$87,"",FALSE)</f>
        <v>25</v>
      </c>
      <c r="W45" s="151" t="str">
        <f>_xlfn.XLOOKUP(ROW(W45)+1-ROW(W$40),報告用!$AN$44:$AN$87,報告用!$G$44:$G$87,"",FALSE)</f>
        <v>内藤　範治</v>
      </c>
      <c r="X45" s="95">
        <f>IF(_xlfn.XLOOKUP(ROW(X45)+1-ROW(X$40),報告用!$AN$44:$AN$87,報告用!$E$44:$E$87,"",FALSE)=V45,"",_xlfn.XLOOKUP(ROW(X45)+1-ROW(X$40),報告用!$AN$44:$AN$87,報告用!$E$44:$E$87,"",FALSE))</f>
        <v>2</v>
      </c>
      <c r="Y45" s="77"/>
      <c r="Z45" s="237"/>
      <c r="AA45" s="92">
        <f>_xlfn.XLOOKUP(ROW(AA45)+1-ROW(AA$40),報告用!$AO$44:$AO$87,報告用!$F$44:$F$87,"",FALSE)</f>
        <v>25</v>
      </c>
      <c r="AB45" s="151" t="str">
        <f>_xlfn.XLOOKUP(ROW(AB45)+1-ROW(AB$40),報告用!$AO$44:$AO$87,報告用!$G$44:$G$87,"",FALSE)</f>
        <v>内藤　範治</v>
      </c>
      <c r="AC45" s="95">
        <f>IF(_xlfn.XLOOKUP(ROW(AC45)+1-ROW(AC$40),報告用!$AO$44:$AO$87,報告用!$E$44:$E$87,"",FALSE)=AA45,"",_xlfn.XLOOKUP(ROW(AC45)+1-ROW(AC$40),報告用!$AO$44:$AO$87,報告用!$E$44:$E$87,"",FALSE))</f>
        <v>2</v>
      </c>
    </row>
    <row r="46" spans="1:29" ht="32.1" customHeight="1">
      <c r="A46" s="235"/>
      <c r="B46" s="92" t="str">
        <f>_xlfn.XLOOKUP(ROW(B46)+1-ROW(B$44),報告用!$AD$44:$AD$87,報告用!$F$44:$F$87,"",FALSE)</f>
        <v/>
      </c>
      <c r="C46" s="151" t="str">
        <f>_xlfn.XLOOKUP(ROW(C46)+1-ROW(C$44),報告用!$AD$44:$AD$87,報告用!$G$44:$G$87,"",FALSE)</f>
        <v/>
      </c>
      <c r="D46" s="95" t="str">
        <f>IF(_xlfn.XLOOKUP(ROW(D46)+1-ROW(D$44),報告用!$AD$44:$AD$87,報告用!$E$44:$E$87,"",FALSE)=B46,"",_xlfn.XLOOKUP(ROW(D46)+1-ROW(D$44),報告用!$AD$44:$AD$87,報告用!$E$44:$E$87,"",FALSE))</f>
        <v/>
      </c>
      <c r="F46" s="237"/>
      <c r="G46" s="92">
        <f>_xlfn.XLOOKUP(ROW(G46)+1-ROW(G$40),報告用!$AK$44:$AK$87,報告用!$F$44:$F$87,"",FALSE)</f>
        <v>1</v>
      </c>
      <c r="H46" s="151" t="str">
        <f>_xlfn.XLOOKUP(ROW(H46)+1-ROW(H$40),報告用!$AK$44:$AK$87,報告用!$G$44:$G$87,"",FALSE)</f>
        <v>笹本　定子</v>
      </c>
      <c r="I46" s="95" t="str">
        <f>IF(_xlfn.XLOOKUP(ROW(I46)+1-ROW(I$40),報告用!$AK$44:$AK$87,報告用!$E$44:$E$87,"",FALSE)=G46,"",_xlfn.XLOOKUP(ROW(I46)+1-ROW(I$40),報告用!$AK$44:$AK$87,報告用!$E$44:$E$87,"",FALSE))</f>
        <v/>
      </c>
      <c r="J46" s="77"/>
      <c r="K46" s="237"/>
      <c r="L46" s="92">
        <f>_xlfn.XLOOKUP(ROW(L46)+1-ROW(L$40),報告用!$AL$44:$AL$87,報告用!$F$44:$F$87,"",FALSE)</f>
        <v>1</v>
      </c>
      <c r="M46" s="151" t="str">
        <f>_xlfn.XLOOKUP(ROW(M46)+1-ROW(M$40),報告用!$AL$44:$AL$87,報告用!$G$44:$G$87,"",FALSE)</f>
        <v>太田　恵須子</v>
      </c>
      <c r="N46" s="95" t="str">
        <f>IF(_xlfn.XLOOKUP(ROW(N46)+1-ROW(N$40),報告用!$AL$44:$AL$87,報告用!$E$44:$E$87,"",FALSE)=L46,"",_xlfn.XLOOKUP(ROW(N46)+1-ROW(N$40),報告用!$AL$44:$AL$87,報告用!$E$44:$E$87,"",FALSE))</f>
        <v/>
      </c>
      <c r="P46" s="237"/>
      <c r="Q46" s="92">
        <f>_xlfn.XLOOKUP(ROW(Q46)+1-ROW(Q$40),報告用!$AM$44:$AM$87,報告用!$F$44:$F$87,"",FALSE)</f>
        <v>1</v>
      </c>
      <c r="R46" s="151" t="str">
        <f>_xlfn.XLOOKUP(ROW(R46)+1-ROW(R$40),報告用!$AM$44:$AM$87,報告用!$G$44:$G$87,"",FALSE)</f>
        <v>笹本　定子</v>
      </c>
      <c r="S46" s="95" t="str">
        <f>IF(_xlfn.XLOOKUP(ROW(S46)+1-ROW(S$40),報告用!$AM$44:$AM$87,報告用!$E$44:$E$87,"",FALSE)=Q46,"",_xlfn.XLOOKUP(ROW(S46)+1-ROW(S$40),報告用!$AM$44:$AM$87,報告用!$E$44:$E$87,"",FALSE))</f>
        <v/>
      </c>
      <c r="U46" s="237"/>
      <c r="V46" s="92">
        <f>_xlfn.XLOOKUP(ROW(V46)+1-ROW(V$40),報告用!$AN$44:$AN$87,報告用!$F$44:$F$87,"",FALSE)</f>
        <v>1</v>
      </c>
      <c r="W46" s="151" t="str">
        <f>_xlfn.XLOOKUP(ROW(W46)+1-ROW(W$40),報告用!$AN$44:$AN$87,報告用!$G$44:$G$87,"",FALSE)</f>
        <v>太田　恵須子</v>
      </c>
      <c r="X46" s="95" t="str">
        <f>IF(_xlfn.XLOOKUP(ROW(X46)+1-ROW(X$40),報告用!$AN$44:$AN$87,報告用!$E$44:$E$87,"",FALSE)=V46,"",_xlfn.XLOOKUP(ROW(X46)+1-ROW(X$40),報告用!$AN$44:$AN$87,報告用!$E$44:$E$87,"",FALSE))</f>
        <v/>
      </c>
      <c r="Y46" s="77"/>
      <c r="Z46" s="237"/>
      <c r="AA46" s="92">
        <f>_xlfn.XLOOKUP(ROW(AA46)+1-ROW(AA$40),報告用!$AO$44:$AO$87,報告用!$F$44:$F$87,"",FALSE)</f>
        <v>1</v>
      </c>
      <c r="AB46" s="151" t="str">
        <f>_xlfn.XLOOKUP(ROW(AB46)+1-ROW(AB$40),報告用!$AO$44:$AO$87,報告用!$G$44:$G$87,"",FALSE)</f>
        <v>笹本　定子</v>
      </c>
      <c r="AC46" s="95" t="str">
        <f>IF(_xlfn.XLOOKUP(ROW(AC46)+1-ROW(AC$40),報告用!$AO$44:$AO$87,報告用!$E$44:$E$87,"",FALSE)=AA46,"",_xlfn.XLOOKUP(ROW(AC46)+1-ROW(AC$40),報告用!$AO$44:$AO$87,報告用!$E$44:$E$87,"",FALSE))</f>
        <v/>
      </c>
    </row>
    <row r="47" spans="1:29" ht="32.1" customHeight="1">
      <c r="A47" s="235"/>
      <c r="B47" s="92" t="str">
        <f>_xlfn.XLOOKUP(ROW(B47)+1-ROW(B$44),報告用!$AD$44:$AD$87,報告用!$F$44:$F$87,"",FALSE)</f>
        <v/>
      </c>
      <c r="C47" s="151" t="str">
        <f>_xlfn.XLOOKUP(ROW(C47)+1-ROW(C$44),報告用!$AD$44:$AD$87,報告用!$G$44:$G$87,"",FALSE)</f>
        <v/>
      </c>
      <c r="D47" s="95" t="str">
        <f>IF(_xlfn.XLOOKUP(ROW(D47)+1-ROW(D$44),報告用!$AD$44:$AD$87,報告用!$E$44:$E$87,"",FALSE)=B47,"",_xlfn.XLOOKUP(ROW(D47)+1-ROW(D$44),報告用!$AD$44:$AD$87,報告用!$E$44:$E$87,"",FALSE))</f>
        <v/>
      </c>
      <c r="F47" s="237"/>
      <c r="G47" s="92">
        <f>_xlfn.XLOOKUP(ROW(G47)+1-ROW(G$40),報告用!$AK$44:$AK$87,報告用!$F$44:$F$87,"",FALSE)</f>
        <v>3</v>
      </c>
      <c r="H47" s="151" t="str">
        <f>_xlfn.XLOOKUP(ROW(H47)+1-ROW(H$40),報告用!$AK$44:$AK$87,報告用!$G$44:$G$87,"",FALSE)</f>
        <v>大森　俊子</v>
      </c>
      <c r="I47" s="95" t="str">
        <f>IF(_xlfn.XLOOKUP(ROW(I47)+1-ROW(I$40),報告用!$AK$44:$AK$87,報告用!$E$44:$E$87,"",FALSE)=G47,"",_xlfn.XLOOKUP(ROW(I47)+1-ROW(I$40),報告用!$AK$44:$AK$87,報告用!$E$44:$E$87,"",FALSE))</f>
        <v/>
      </c>
      <c r="J47" s="77"/>
      <c r="K47" s="237"/>
      <c r="L47" s="92">
        <f>_xlfn.XLOOKUP(ROW(L47)+1-ROW(L$40),報告用!$AL$44:$AL$87,報告用!$F$44:$F$87,"",FALSE)</f>
        <v>1</v>
      </c>
      <c r="M47" s="151" t="str">
        <f>_xlfn.XLOOKUP(ROW(M47)+1-ROW(M$40),報告用!$AL$44:$AL$87,報告用!$G$44:$G$87,"",FALSE)</f>
        <v>笹本　定子</v>
      </c>
      <c r="N47" s="95" t="str">
        <f>IF(_xlfn.XLOOKUP(ROW(N47)+1-ROW(N$40),報告用!$AL$44:$AL$87,報告用!$E$44:$E$87,"",FALSE)=L47,"",_xlfn.XLOOKUP(ROW(N47)+1-ROW(N$40),報告用!$AL$44:$AL$87,報告用!$E$44:$E$87,"",FALSE))</f>
        <v/>
      </c>
      <c r="P47" s="237"/>
      <c r="Q47" s="92">
        <f>_xlfn.XLOOKUP(ROW(Q47)+1-ROW(Q$40),報告用!$AM$44:$AM$87,報告用!$F$44:$F$87,"",FALSE)</f>
        <v>3</v>
      </c>
      <c r="R47" s="151" t="str">
        <f>_xlfn.XLOOKUP(ROW(R47)+1-ROW(R$40),報告用!$AM$44:$AM$87,報告用!$G$44:$G$87,"",FALSE)</f>
        <v>大森　俊子</v>
      </c>
      <c r="S47" s="95" t="str">
        <f>IF(_xlfn.XLOOKUP(ROW(S47)+1-ROW(S$40),報告用!$AM$44:$AM$87,報告用!$E$44:$E$87,"",FALSE)=Q47,"",_xlfn.XLOOKUP(ROW(S47)+1-ROW(S$40),報告用!$AM$44:$AM$87,報告用!$E$44:$E$87,"",FALSE))</f>
        <v/>
      </c>
      <c r="U47" s="237"/>
      <c r="V47" s="92">
        <f>_xlfn.XLOOKUP(ROW(V47)+1-ROW(V$40),報告用!$AN$44:$AN$87,報告用!$F$44:$F$87,"",FALSE)</f>
        <v>1</v>
      </c>
      <c r="W47" s="151" t="str">
        <f>_xlfn.XLOOKUP(ROW(W47)+1-ROW(W$40),報告用!$AN$44:$AN$87,報告用!$G$44:$G$87,"",FALSE)</f>
        <v>笹本　定子</v>
      </c>
      <c r="X47" s="95" t="str">
        <f>IF(_xlfn.XLOOKUP(ROW(X47)+1-ROW(X$40),報告用!$AN$44:$AN$87,報告用!$E$44:$E$87,"",FALSE)=V47,"",_xlfn.XLOOKUP(ROW(X47)+1-ROW(X$40),報告用!$AN$44:$AN$87,報告用!$E$44:$E$87,"",FALSE))</f>
        <v/>
      </c>
      <c r="Y47" s="77"/>
      <c r="Z47" s="237"/>
      <c r="AA47" s="92">
        <f>_xlfn.XLOOKUP(ROW(AA47)+1-ROW(AA$40),報告用!$AO$44:$AO$87,報告用!$F$44:$F$87,"",FALSE)</f>
        <v>3</v>
      </c>
      <c r="AB47" s="151" t="str">
        <f>_xlfn.XLOOKUP(ROW(AB47)+1-ROW(AB$40),報告用!$AO$44:$AO$87,報告用!$G$44:$G$87,"",FALSE)</f>
        <v>大森　俊子</v>
      </c>
      <c r="AC47" s="95" t="str">
        <f>IF(_xlfn.XLOOKUP(ROW(AC47)+1-ROW(AC$40),報告用!$AO$44:$AO$87,報告用!$E$44:$E$87,"",FALSE)=AA47,"",_xlfn.XLOOKUP(ROW(AC47)+1-ROW(AC$40),報告用!$AO$44:$AO$87,報告用!$E$44:$E$87,"",FALSE))</f>
        <v/>
      </c>
    </row>
    <row r="48" spans="1:29" ht="32.1" customHeight="1">
      <c r="A48" s="235"/>
      <c r="B48" s="92" t="str">
        <f>_xlfn.XLOOKUP(ROW(B48)+1-ROW(B$44),報告用!$AD$44:$AD$87,報告用!$F$44:$F$87,"",FALSE)</f>
        <v/>
      </c>
      <c r="C48" s="151" t="str">
        <f>_xlfn.XLOOKUP(ROW(C48)+1-ROW(C$44),報告用!$AD$44:$AD$87,報告用!$G$44:$G$87,"",FALSE)</f>
        <v/>
      </c>
      <c r="D48" s="95" t="str">
        <f>IF(_xlfn.XLOOKUP(ROW(D48)+1-ROW(D$44),報告用!$AD$44:$AD$87,報告用!$E$44:$E$87,"",FALSE)=B48,"",_xlfn.XLOOKUP(ROW(D48)+1-ROW(D$44),報告用!$AD$44:$AD$87,報告用!$E$44:$E$87,"",FALSE))</f>
        <v/>
      </c>
      <c r="F48" s="237"/>
      <c r="G48" s="92">
        <f>_xlfn.XLOOKUP(ROW(G48)+1-ROW(G$40),報告用!$AK$44:$AK$87,報告用!$F$44:$F$87,"",FALSE)</f>
        <v>5</v>
      </c>
      <c r="H48" s="151" t="str">
        <f>_xlfn.XLOOKUP(ROW(H48)+1-ROW(H$40),報告用!$AK$44:$AK$87,報告用!$G$44:$G$87,"",FALSE)</f>
        <v>高田 保英</v>
      </c>
      <c r="I48" s="95">
        <f>IF(_xlfn.XLOOKUP(ROW(I48)+1-ROW(I$40),報告用!$AK$44:$AK$87,報告用!$E$44:$E$87,"",FALSE)=G48,"",_xlfn.XLOOKUP(ROW(I48)+1-ROW(I$40),報告用!$AK$44:$AK$87,報告用!$E$44:$E$87,"",FALSE))</f>
        <v>25</v>
      </c>
      <c r="J48" s="77"/>
      <c r="K48" s="237"/>
      <c r="L48" s="92">
        <f>_xlfn.XLOOKUP(ROW(L48)+1-ROW(L$40),報告用!$AL$44:$AL$87,報告用!$F$44:$F$87,"",FALSE)</f>
        <v>5</v>
      </c>
      <c r="M48" s="151" t="str">
        <f>_xlfn.XLOOKUP(ROW(M48)+1-ROW(M$40),報告用!$AL$44:$AL$87,報告用!$G$44:$G$87,"",FALSE)</f>
        <v>高田 保英</v>
      </c>
      <c r="N48" s="95">
        <f>IF(_xlfn.XLOOKUP(ROW(N48)+1-ROW(N$40),報告用!$AL$44:$AL$87,報告用!$E$44:$E$87,"",FALSE)=L48,"",_xlfn.XLOOKUP(ROW(N48)+1-ROW(N$40),報告用!$AL$44:$AL$87,報告用!$E$44:$E$87,"",FALSE))</f>
        <v>25</v>
      </c>
      <c r="P48" s="237"/>
      <c r="Q48" s="92">
        <f>_xlfn.XLOOKUP(ROW(Q48)+1-ROW(Q$40),報告用!$AM$44:$AM$87,報告用!$F$44:$F$87,"",FALSE)</f>
        <v>5</v>
      </c>
      <c r="R48" s="151" t="str">
        <f>_xlfn.XLOOKUP(ROW(R48)+1-ROW(R$40),報告用!$AM$44:$AM$87,報告用!$G$44:$G$87,"",FALSE)</f>
        <v>高田 保英</v>
      </c>
      <c r="S48" s="95">
        <f>IF(_xlfn.XLOOKUP(ROW(S48)+1-ROW(S$40),報告用!$AM$44:$AM$87,報告用!$E$44:$E$87,"",FALSE)=Q48,"",_xlfn.XLOOKUP(ROW(S48)+1-ROW(S$40),報告用!$AM$44:$AM$87,報告用!$E$44:$E$87,"",FALSE))</f>
        <v>25</v>
      </c>
      <c r="U48" s="237"/>
      <c r="V48" s="92">
        <f>_xlfn.XLOOKUP(ROW(V48)+1-ROW(V$40),報告用!$AN$44:$AN$87,報告用!$F$44:$F$87,"",FALSE)</f>
        <v>5</v>
      </c>
      <c r="W48" s="151" t="str">
        <f>_xlfn.XLOOKUP(ROW(W48)+1-ROW(W$40),報告用!$AN$44:$AN$87,報告用!$G$44:$G$87,"",FALSE)</f>
        <v>高田 保英</v>
      </c>
      <c r="X48" s="95">
        <f>IF(_xlfn.XLOOKUP(ROW(X48)+1-ROW(X$40),報告用!$AN$44:$AN$87,報告用!$E$44:$E$87,"",FALSE)=V48,"",_xlfn.XLOOKUP(ROW(X48)+1-ROW(X$40),報告用!$AN$44:$AN$87,報告用!$E$44:$E$87,"",FALSE))</f>
        <v>25</v>
      </c>
      <c r="Y48" s="77"/>
      <c r="Z48" s="237"/>
      <c r="AA48" s="92">
        <f>_xlfn.XLOOKUP(ROW(AA48)+1-ROW(AA$40),報告用!$AO$44:$AO$87,報告用!$F$44:$F$87,"",FALSE)</f>
        <v>5</v>
      </c>
      <c r="AB48" s="151" t="str">
        <f>_xlfn.XLOOKUP(ROW(AB48)+1-ROW(AB$40),報告用!$AO$44:$AO$87,報告用!$G$44:$G$87,"",FALSE)</f>
        <v>高田 保英</v>
      </c>
      <c r="AC48" s="95">
        <f>IF(_xlfn.XLOOKUP(ROW(AC48)+1-ROW(AC$40),報告用!$AO$44:$AO$87,報告用!$E$44:$E$87,"",FALSE)=AA48,"",_xlfn.XLOOKUP(ROW(AC48)+1-ROW(AC$40),報告用!$AO$44:$AO$87,報告用!$E$44:$E$87,"",FALSE))</f>
        <v>25</v>
      </c>
    </row>
    <row r="49" spans="1:29" ht="32.1" customHeight="1">
      <c r="A49" s="235"/>
      <c r="B49" s="92" t="str">
        <f>_xlfn.XLOOKUP(ROW(B49)+1-ROW(B$44),報告用!$AD$44:$AD$87,報告用!$F$44:$F$87,"",FALSE)</f>
        <v/>
      </c>
      <c r="C49" s="151" t="str">
        <f>_xlfn.XLOOKUP(ROW(C49)+1-ROW(C$44),報告用!$AD$44:$AD$87,報告用!$G$44:$G$87,"",FALSE)</f>
        <v/>
      </c>
      <c r="D49" s="95" t="str">
        <f>IF(_xlfn.XLOOKUP(ROW(D49)+1-ROW(D$44),報告用!$AD$44:$AD$87,報告用!$E$44:$E$87,"",FALSE)=B49,"",_xlfn.XLOOKUP(ROW(D49)+1-ROW(D$44),報告用!$AD$44:$AD$87,報告用!$E$44:$E$87,"",FALSE))</f>
        <v/>
      </c>
      <c r="F49" s="237"/>
      <c r="G49" s="92">
        <f>_xlfn.XLOOKUP(ROW(G49)+1-ROW(G$40),報告用!$AK$44:$AK$87,報告用!$F$44:$F$87,"",FALSE)</f>
        <v>6</v>
      </c>
      <c r="H49" s="151" t="str">
        <f>_xlfn.XLOOKUP(ROW(H49)+1-ROW(H$40),報告用!$AK$44:$AK$87,報告用!$G$44:$G$87,"",FALSE)</f>
        <v>フジイロザスミコ</v>
      </c>
      <c r="I49" s="95" t="str">
        <f>IF(_xlfn.XLOOKUP(ROW(I49)+1-ROW(I$40),報告用!$AK$44:$AK$87,報告用!$E$44:$E$87,"",FALSE)=G49,"",_xlfn.XLOOKUP(ROW(I49)+1-ROW(I$40),報告用!$AK$44:$AK$87,報告用!$E$44:$E$87,"",FALSE))</f>
        <v/>
      </c>
      <c r="J49" s="77"/>
      <c r="K49" s="237"/>
      <c r="L49" s="92">
        <f>_xlfn.XLOOKUP(ROW(L49)+1-ROW(L$40),報告用!$AL$44:$AL$87,報告用!$F$44:$F$87,"",FALSE)</f>
        <v>6</v>
      </c>
      <c r="M49" s="151" t="str">
        <f>_xlfn.XLOOKUP(ROW(M49)+1-ROW(M$40),報告用!$AL$44:$AL$87,報告用!$G$44:$G$87,"",FALSE)</f>
        <v>フジイロザスミコ</v>
      </c>
      <c r="N49" s="95" t="str">
        <f>IF(_xlfn.XLOOKUP(ROW(N49)+1-ROW(N$40),報告用!$AL$44:$AL$87,報告用!$E$44:$E$87,"",FALSE)=L49,"",_xlfn.XLOOKUP(ROW(N49)+1-ROW(N$40),報告用!$AL$44:$AL$87,報告用!$E$44:$E$87,"",FALSE))</f>
        <v/>
      </c>
      <c r="P49" s="237"/>
      <c r="Q49" s="92">
        <f>_xlfn.XLOOKUP(ROW(Q49)+1-ROW(Q$40),報告用!$AM$44:$AM$87,報告用!$F$44:$F$87,"",FALSE)</f>
        <v>6</v>
      </c>
      <c r="R49" s="151" t="str">
        <f>_xlfn.XLOOKUP(ROW(R49)+1-ROW(R$40),報告用!$AM$44:$AM$87,報告用!$G$44:$G$87,"",FALSE)</f>
        <v>フジイロザスミコ</v>
      </c>
      <c r="S49" s="95" t="str">
        <f>IF(_xlfn.XLOOKUP(ROW(S49)+1-ROW(S$40),報告用!$AM$44:$AM$87,報告用!$E$44:$E$87,"",FALSE)=Q49,"",_xlfn.XLOOKUP(ROW(S49)+1-ROW(S$40),報告用!$AM$44:$AM$87,報告用!$E$44:$E$87,"",FALSE))</f>
        <v/>
      </c>
      <c r="U49" s="237"/>
      <c r="V49" s="92">
        <f>_xlfn.XLOOKUP(ROW(V49)+1-ROW(V$40),報告用!$AN$44:$AN$87,報告用!$F$44:$F$87,"",FALSE)</f>
        <v>6</v>
      </c>
      <c r="W49" s="151" t="str">
        <f>_xlfn.XLOOKUP(ROW(W49)+1-ROW(W$40),報告用!$AN$44:$AN$87,報告用!$G$44:$G$87,"",FALSE)</f>
        <v>フジイロザスミコ</v>
      </c>
      <c r="X49" s="95" t="str">
        <f>IF(_xlfn.XLOOKUP(ROW(X49)+1-ROW(X$40),報告用!$AN$44:$AN$87,報告用!$E$44:$E$87,"",FALSE)=V49,"",_xlfn.XLOOKUP(ROW(X49)+1-ROW(X$40),報告用!$AN$44:$AN$87,報告用!$E$44:$E$87,"",FALSE))</f>
        <v/>
      </c>
      <c r="Y49" s="77"/>
      <c r="Z49" s="237"/>
      <c r="AA49" s="92">
        <f>_xlfn.XLOOKUP(ROW(AA49)+1-ROW(AA$40),報告用!$AO$44:$AO$87,報告用!$F$44:$F$87,"",FALSE)</f>
        <v>6</v>
      </c>
      <c r="AB49" s="151" t="str">
        <f>_xlfn.XLOOKUP(ROW(AB49)+1-ROW(AB$40),報告用!$AO$44:$AO$87,報告用!$G$44:$G$87,"",FALSE)</f>
        <v>フジイロザスミコ</v>
      </c>
      <c r="AC49" s="95" t="str">
        <f>IF(_xlfn.XLOOKUP(ROW(AC49)+1-ROW(AC$40),報告用!$AO$44:$AO$87,報告用!$E$44:$E$87,"",FALSE)=AA49,"",_xlfn.XLOOKUP(ROW(AC49)+1-ROW(AC$40),報告用!$AO$44:$AO$87,報告用!$E$44:$E$87,"",FALSE))</f>
        <v/>
      </c>
    </row>
    <row r="50" spans="1:29" ht="32.1" customHeight="1">
      <c r="A50" s="235"/>
      <c r="B50" s="92" t="str">
        <f>_xlfn.XLOOKUP(ROW(B50)+1-ROW(B$44),報告用!$AD$44:$AD$87,報告用!$F$44:$F$87,"",FALSE)</f>
        <v/>
      </c>
      <c r="C50" s="151" t="str">
        <f>_xlfn.XLOOKUP(ROW(C50)+1-ROW(C$44),報告用!$AD$44:$AD$87,報告用!$G$44:$G$87,"",FALSE)</f>
        <v/>
      </c>
      <c r="D50" s="95" t="str">
        <f>IF(_xlfn.XLOOKUP(ROW(D50)+1-ROW(D$44),報告用!$AD$44:$AD$87,報告用!$E$44:$E$87,"",FALSE)=B50,"",_xlfn.XLOOKUP(ROW(D50)+1-ROW(D$44),報告用!$AD$44:$AD$87,報告用!$E$44:$E$87,"",FALSE))</f>
        <v/>
      </c>
      <c r="F50" s="237"/>
      <c r="G50" s="92">
        <f>_xlfn.XLOOKUP(ROW(G50)+1-ROW(G$40),報告用!$AK$44:$AK$87,報告用!$F$44:$F$87,"",FALSE)</f>
        <v>6</v>
      </c>
      <c r="H50" s="151" t="str">
        <f>_xlfn.XLOOKUP(ROW(H50)+1-ROW(H$40),報告用!$AK$44:$AK$87,報告用!$G$44:$G$87,"",FALSE)</f>
        <v>一瀨　好恵</v>
      </c>
      <c r="I50" s="95">
        <f>IF(_xlfn.XLOOKUP(ROW(I50)+1-ROW(I$40),報告用!$AK$44:$AK$87,報告用!$E$44:$E$87,"",FALSE)=G50,"",_xlfn.XLOOKUP(ROW(I50)+1-ROW(I$40),報告用!$AK$44:$AK$87,報告用!$E$44:$E$87,"",FALSE))</f>
        <v>5</v>
      </c>
      <c r="J50" s="77"/>
      <c r="K50" s="237"/>
      <c r="L50" s="92">
        <f>_xlfn.XLOOKUP(ROW(L50)+1-ROW(L$40),報告用!$AL$44:$AL$87,報告用!$F$44:$F$87,"",FALSE)</f>
        <v>6</v>
      </c>
      <c r="M50" s="151" t="str">
        <f>_xlfn.XLOOKUP(ROW(M50)+1-ROW(M$40),報告用!$AL$44:$AL$87,報告用!$G$44:$G$87,"",FALSE)</f>
        <v>一瀨　好恵</v>
      </c>
      <c r="N50" s="95">
        <f>IF(_xlfn.XLOOKUP(ROW(N50)+1-ROW(N$40),報告用!$AL$44:$AL$87,報告用!$E$44:$E$87,"",FALSE)=L50,"",_xlfn.XLOOKUP(ROW(N50)+1-ROW(N$40),報告用!$AL$44:$AL$87,報告用!$E$44:$E$87,"",FALSE))</f>
        <v>5</v>
      </c>
      <c r="P50" s="237"/>
      <c r="Q50" s="92">
        <f>_xlfn.XLOOKUP(ROW(Q50)+1-ROW(Q$40),報告用!$AM$44:$AM$87,報告用!$F$44:$F$87,"",FALSE)</f>
        <v>6</v>
      </c>
      <c r="R50" s="151" t="str">
        <f>_xlfn.XLOOKUP(ROW(R50)+1-ROW(R$40),報告用!$AM$44:$AM$87,報告用!$G$44:$G$87,"",FALSE)</f>
        <v>一瀨　好恵</v>
      </c>
      <c r="S50" s="95">
        <f>IF(_xlfn.XLOOKUP(ROW(S50)+1-ROW(S$40),報告用!$AM$44:$AM$87,報告用!$E$44:$E$87,"",FALSE)=Q50,"",_xlfn.XLOOKUP(ROW(S50)+1-ROW(S$40),報告用!$AM$44:$AM$87,報告用!$E$44:$E$87,"",FALSE))</f>
        <v>5</v>
      </c>
      <c r="U50" s="237"/>
      <c r="V50" s="92">
        <f>_xlfn.XLOOKUP(ROW(V50)+1-ROW(V$40),報告用!$AN$44:$AN$87,報告用!$F$44:$F$87,"",FALSE)</f>
        <v>6</v>
      </c>
      <c r="W50" s="151" t="str">
        <f>_xlfn.XLOOKUP(ROW(W50)+1-ROW(W$40),報告用!$AN$44:$AN$87,報告用!$G$44:$G$87,"",FALSE)</f>
        <v>一瀨　好恵</v>
      </c>
      <c r="X50" s="95">
        <f>IF(_xlfn.XLOOKUP(ROW(X50)+1-ROW(X$40),報告用!$AN$44:$AN$87,報告用!$E$44:$E$87,"",FALSE)=V50,"",_xlfn.XLOOKUP(ROW(X50)+1-ROW(X$40),報告用!$AN$44:$AN$87,報告用!$E$44:$E$87,"",FALSE))</f>
        <v>5</v>
      </c>
      <c r="Y50" s="77"/>
      <c r="Z50" s="237"/>
      <c r="AA50" s="92">
        <f>_xlfn.XLOOKUP(ROW(AA50)+1-ROW(AA$40),報告用!$AO$44:$AO$87,報告用!$F$44:$F$87,"",FALSE)</f>
        <v>6</v>
      </c>
      <c r="AB50" s="151" t="str">
        <f>_xlfn.XLOOKUP(ROW(AB50)+1-ROW(AB$40),報告用!$AO$44:$AO$87,報告用!$G$44:$G$87,"",FALSE)</f>
        <v>一瀨　好恵</v>
      </c>
      <c r="AC50" s="95">
        <f>IF(_xlfn.XLOOKUP(ROW(AC50)+1-ROW(AC$40),報告用!$AO$44:$AO$87,報告用!$E$44:$E$87,"",FALSE)=AA50,"",_xlfn.XLOOKUP(ROW(AC50)+1-ROW(AC$40),報告用!$AO$44:$AO$87,報告用!$E$44:$E$87,"",FALSE))</f>
        <v>5</v>
      </c>
    </row>
    <row r="51" spans="1:29" ht="32.1" customHeight="1" thickBot="1">
      <c r="A51" s="230"/>
      <c r="B51" s="88" t="str">
        <f>_xlfn.XLOOKUP(ROW(B51)+1-ROW(B$44),報告用!$AD$44:$AD$87,報告用!$F$44:$F$87,"",FALSE)</f>
        <v/>
      </c>
      <c r="C51" s="155" t="str">
        <f>_xlfn.XLOOKUP(ROW(C51)+1-ROW(C$44),報告用!$AD$44:$AD$87,報告用!$G$44:$G$87,"",FALSE)</f>
        <v/>
      </c>
      <c r="D51" s="91" t="str">
        <f>IF(_xlfn.XLOOKUP(ROW(D51)+1-ROW(D$44),報告用!$AD$44:$AD$87,報告用!$E$44:$E$87,"",FALSE)=B51,"",_xlfn.XLOOKUP(ROW(D51)+1-ROW(D$44),報告用!$AD$44:$AD$87,報告用!$E$44:$E$87,"",FALSE))</f>
        <v/>
      </c>
      <c r="F51" s="237"/>
      <c r="G51" s="92">
        <f>_xlfn.XLOOKUP(ROW(G51)+1-ROW(G$40),報告用!$AK$44:$AK$87,報告用!$F$44:$F$87,"",FALSE)</f>
        <v>7</v>
      </c>
      <c r="H51" s="151" t="str">
        <f>_xlfn.XLOOKUP(ROW(H51)+1-ROW(H$40),報告用!$AK$44:$AK$87,報告用!$G$44:$G$87,"",FALSE)</f>
        <v>佐藤　光正</v>
      </c>
      <c r="I51" s="95" t="str">
        <f>IF(_xlfn.XLOOKUP(ROW(I51)+1-ROW(I$40),報告用!$AK$44:$AK$87,報告用!$E$44:$E$87,"",FALSE)=G51,"",_xlfn.XLOOKUP(ROW(I51)+1-ROW(I$40),報告用!$AK$44:$AK$87,報告用!$E$44:$E$87,"",FALSE))</f>
        <v/>
      </c>
      <c r="J51" s="77"/>
      <c r="K51" s="237"/>
      <c r="L51" s="92">
        <f>_xlfn.XLOOKUP(ROW(L51)+1-ROW(L$40),報告用!$AL$44:$AL$87,報告用!$F$44:$F$87,"",FALSE)</f>
        <v>7</v>
      </c>
      <c r="M51" s="151" t="str">
        <f>_xlfn.XLOOKUP(ROW(M51)+1-ROW(M$40),報告用!$AL$44:$AL$87,報告用!$G$44:$G$87,"",FALSE)</f>
        <v>佐藤　光正</v>
      </c>
      <c r="N51" s="95" t="str">
        <f>IF(_xlfn.XLOOKUP(ROW(N51)+1-ROW(N$40),報告用!$AL$44:$AL$87,報告用!$E$44:$E$87,"",FALSE)=L51,"",_xlfn.XLOOKUP(ROW(N51)+1-ROW(N$40),報告用!$AL$44:$AL$87,報告用!$E$44:$E$87,"",FALSE))</f>
        <v/>
      </c>
      <c r="P51" s="237"/>
      <c r="Q51" s="92">
        <f>_xlfn.XLOOKUP(ROW(Q51)+1-ROW(Q$40),報告用!$AM$44:$AM$87,報告用!$F$44:$F$87,"",FALSE)</f>
        <v>7</v>
      </c>
      <c r="R51" s="151" t="str">
        <f>_xlfn.XLOOKUP(ROW(R51)+1-ROW(R$40),報告用!$AM$44:$AM$87,報告用!$G$44:$G$87,"",FALSE)</f>
        <v>佐藤　光正</v>
      </c>
      <c r="S51" s="95" t="str">
        <f>IF(_xlfn.XLOOKUP(ROW(S51)+1-ROW(S$40),報告用!$AM$44:$AM$87,報告用!$E$44:$E$87,"",FALSE)=Q51,"",_xlfn.XLOOKUP(ROW(S51)+1-ROW(S$40),報告用!$AM$44:$AM$87,報告用!$E$44:$E$87,"",FALSE))</f>
        <v/>
      </c>
      <c r="U51" s="237"/>
      <c r="V51" s="92">
        <f>_xlfn.XLOOKUP(ROW(V51)+1-ROW(V$40),報告用!$AN$44:$AN$87,報告用!$F$44:$F$87,"",FALSE)</f>
        <v>7</v>
      </c>
      <c r="W51" s="151" t="str">
        <f>_xlfn.XLOOKUP(ROW(W51)+1-ROW(W$40),報告用!$AN$44:$AN$87,報告用!$G$44:$G$87,"",FALSE)</f>
        <v>佐藤　光正</v>
      </c>
      <c r="X51" s="95" t="str">
        <f>IF(_xlfn.XLOOKUP(ROW(X51)+1-ROW(X$40),報告用!$AN$44:$AN$87,報告用!$E$44:$E$87,"",FALSE)=V51,"",_xlfn.XLOOKUP(ROW(X51)+1-ROW(X$40),報告用!$AN$44:$AN$87,報告用!$E$44:$E$87,"",FALSE))</f>
        <v/>
      </c>
      <c r="Y51" s="77"/>
      <c r="Z51" s="237"/>
      <c r="AA51" s="92">
        <f>_xlfn.XLOOKUP(ROW(AA51)+1-ROW(AA$40),報告用!$AO$44:$AO$87,報告用!$F$44:$F$87,"",FALSE)</f>
        <v>7</v>
      </c>
      <c r="AB51" s="151" t="str">
        <f>_xlfn.XLOOKUP(ROW(AB51)+1-ROW(AB$40),報告用!$AO$44:$AO$87,報告用!$G$44:$G$87,"",FALSE)</f>
        <v>佐藤　光正</v>
      </c>
      <c r="AC51" s="95" t="str">
        <f>IF(_xlfn.XLOOKUP(ROW(AC51)+1-ROW(AC$40),報告用!$AO$44:$AO$87,報告用!$E$44:$E$87,"",FALSE)=AA51,"",_xlfn.XLOOKUP(ROW(AC51)+1-ROW(AC$40),報告用!$AO$44:$AO$87,報告用!$E$44:$E$87,"",FALSE))</f>
        <v/>
      </c>
    </row>
    <row r="52" spans="1:29" ht="32.1" customHeight="1" thickTop="1">
      <c r="A52" s="242" t="s">
        <v>108</v>
      </c>
      <c r="B52" s="92" t="str">
        <f>_xlfn.XLOOKUP(ROW(B52)+1-ROW(B$52),報告用!$AE$44:$AE$87,報告用!$F$44:$F$87,"",FALSE)</f>
        <v/>
      </c>
      <c r="C52" s="151" t="str">
        <f>_xlfn.XLOOKUP(ROW(C52)+1-ROW(C$52),報告用!$AE$44:$AE$87,報告用!$G$44:$G$87,"",FALSE)</f>
        <v/>
      </c>
      <c r="D52" s="95" t="str">
        <f>IF(_xlfn.XLOOKUP(ROW(D52)+1-ROW(D$52),報告用!$AE$44:$AE$87,報告用!$E$44:$E$87,"",FALSE)=B52,"",_xlfn.XLOOKUP(ROW(D52)+1-ROW(D$52),報告用!$AE$44:$AE$87,報告用!$E$44:$E$87,"",FALSE))</f>
        <v/>
      </c>
      <c r="F52" s="237"/>
      <c r="G52" s="92">
        <f>_xlfn.XLOOKUP(ROW(G52)+1-ROW(G$40),報告用!$AK$44:$AK$87,報告用!$F$44:$F$87,"",FALSE)</f>
        <v>7</v>
      </c>
      <c r="H52" s="151" t="str">
        <f>_xlfn.XLOOKUP(ROW(H52)+1-ROW(H$40),報告用!$AK$44:$AK$87,報告用!$G$44:$G$87,"",FALSE)</f>
        <v>水上　哲彌</v>
      </c>
      <c r="I52" s="95" t="str">
        <f>IF(_xlfn.XLOOKUP(ROW(I52)+1-ROW(I$40),報告用!$AK$44:$AK$87,報告用!$E$44:$E$87,"",FALSE)=G52,"",_xlfn.XLOOKUP(ROW(I52)+1-ROW(I$40),報告用!$AK$44:$AK$87,報告用!$E$44:$E$87,"",FALSE))</f>
        <v/>
      </c>
      <c r="J52" s="77"/>
      <c r="K52" s="237"/>
      <c r="L52" s="92">
        <f>_xlfn.XLOOKUP(ROW(L52)+1-ROW(L$40),報告用!$AL$44:$AL$87,報告用!$F$44:$F$87,"",FALSE)</f>
        <v>7</v>
      </c>
      <c r="M52" s="151" t="str">
        <f>_xlfn.XLOOKUP(ROW(M52)+1-ROW(M$40),報告用!$AL$44:$AL$87,報告用!$G$44:$G$87,"",FALSE)</f>
        <v>水上　哲彌</v>
      </c>
      <c r="N52" s="95" t="str">
        <f>IF(_xlfn.XLOOKUP(ROW(N52)+1-ROW(N$40),報告用!$AL$44:$AL$87,報告用!$E$44:$E$87,"",FALSE)=L52,"",_xlfn.XLOOKUP(ROW(N52)+1-ROW(N$40),報告用!$AL$44:$AL$87,報告用!$E$44:$E$87,"",FALSE))</f>
        <v/>
      </c>
      <c r="P52" s="237"/>
      <c r="Q52" s="92">
        <f>_xlfn.XLOOKUP(ROW(Q52)+1-ROW(Q$40),報告用!$AM$44:$AM$87,報告用!$F$44:$F$87,"",FALSE)</f>
        <v>7</v>
      </c>
      <c r="R52" s="151" t="str">
        <f>_xlfn.XLOOKUP(ROW(R52)+1-ROW(R$40),報告用!$AM$44:$AM$87,報告用!$G$44:$G$87,"",FALSE)</f>
        <v>水上　哲彌</v>
      </c>
      <c r="S52" s="95" t="str">
        <f>IF(_xlfn.XLOOKUP(ROW(S52)+1-ROW(S$40),報告用!$AM$44:$AM$87,報告用!$E$44:$E$87,"",FALSE)=Q52,"",_xlfn.XLOOKUP(ROW(S52)+1-ROW(S$40),報告用!$AM$44:$AM$87,報告用!$E$44:$E$87,"",FALSE))</f>
        <v/>
      </c>
      <c r="U52" s="237"/>
      <c r="V52" s="92">
        <f>_xlfn.XLOOKUP(ROW(V52)+1-ROW(V$40),報告用!$AN$44:$AN$87,報告用!$F$44:$F$87,"",FALSE)</f>
        <v>7</v>
      </c>
      <c r="W52" s="151" t="str">
        <f>_xlfn.XLOOKUP(ROW(W52)+1-ROW(W$40),報告用!$AN$44:$AN$87,報告用!$G$44:$G$87,"",FALSE)</f>
        <v>水上　哲彌</v>
      </c>
      <c r="X52" s="95" t="str">
        <f>IF(_xlfn.XLOOKUP(ROW(X52)+1-ROW(X$40),報告用!$AN$44:$AN$87,報告用!$E$44:$E$87,"",FALSE)=V52,"",_xlfn.XLOOKUP(ROW(X52)+1-ROW(X$40),報告用!$AN$44:$AN$87,報告用!$E$44:$E$87,"",FALSE))</f>
        <v/>
      </c>
      <c r="Y52" s="77"/>
      <c r="Z52" s="237"/>
      <c r="AA52" s="92">
        <f>_xlfn.XLOOKUP(ROW(AA52)+1-ROW(AA$40),報告用!$AO$44:$AO$87,報告用!$F$44:$F$87,"",FALSE)</f>
        <v>7</v>
      </c>
      <c r="AB52" s="151" t="str">
        <f>_xlfn.XLOOKUP(ROW(AB52)+1-ROW(AB$40),報告用!$AO$44:$AO$87,報告用!$G$44:$G$87,"",FALSE)</f>
        <v>水上　哲彌</v>
      </c>
      <c r="AC52" s="95" t="str">
        <f>IF(_xlfn.XLOOKUP(ROW(AC52)+1-ROW(AC$40),報告用!$AO$44:$AO$87,報告用!$E$44:$E$87,"",FALSE)=AA52,"",_xlfn.XLOOKUP(ROW(AC52)+1-ROW(AC$40),報告用!$AO$44:$AO$87,報告用!$E$44:$E$87,"",FALSE))</f>
        <v/>
      </c>
    </row>
    <row r="53" spans="1:29" ht="32.1" customHeight="1">
      <c r="A53" s="235"/>
      <c r="B53" s="92" t="str">
        <f>_xlfn.XLOOKUP(ROW(B53)+1-ROW(B$52),報告用!$AE$44:$AE$87,報告用!$F$44:$F$87,"",FALSE)</f>
        <v/>
      </c>
      <c r="C53" s="151" t="str">
        <f>_xlfn.XLOOKUP(ROW(C53)+1-ROW(C$52),報告用!$AE$44:$AE$87,報告用!$G$44:$G$87,"",FALSE)</f>
        <v/>
      </c>
      <c r="D53" s="95" t="str">
        <f>IF(_xlfn.XLOOKUP(ROW(D53)+1-ROW(D$52),報告用!$AE$44:$AE$87,報告用!$E$44:$E$87,"",FALSE)=B53,"",_xlfn.XLOOKUP(ROW(D53)+1-ROW(D$52),報告用!$AE$44:$AE$87,報告用!$E$44:$E$87,"",FALSE))</f>
        <v/>
      </c>
      <c r="F53" s="237"/>
      <c r="G53" s="92">
        <f>_xlfn.XLOOKUP(ROW(G53)+1-ROW(G$40),報告用!$AK$44:$AK$87,報告用!$F$44:$F$87,"",FALSE)</f>
        <v>12</v>
      </c>
      <c r="H53" s="151" t="str">
        <f>_xlfn.XLOOKUP(ROW(H53)+1-ROW(H$40),報告用!$AK$44:$AK$87,報告用!$G$44:$G$87,"",FALSE)</f>
        <v>鴨下　恵美子</v>
      </c>
      <c r="I53" s="95">
        <f>IF(_xlfn.XLOOKUP(ROW(I53)+1-ROW(I$40),報告用!$AK$44:$AK$87,報告用!$E$44:$E$87,"",FALSE)=G53,"",_xlfn.XLOOKUP(ROW(I53)+1-ROW(I$40),報告用!$AK$44:$AK$87,報告用!$E$44:$E$87,"",FALSE))</f>
        <v>11</v>
      </c>
      <c r="J53" s="77"/>
      <c r="K53" s="237"/>
      <c r="L53" s="92">
        <f>_xlfn.XLOOKUP(ROW(L53)+1-ROW(L$40),報告用!$AL$44:$AL$87,報告用!$F$44:$F$87,"",FALSE)</f>
        <v>12</v>
      </c>
      <c r="M53" s="151" t="str">
        <f>_xlfn.XLOOKUP(ROW(M53)+1-ROW(M$40),報告用!$AL$44:$AL$87,報告用!$G$44:$G$87,"",FALSE)</f>
        <v>鴨下　恵美子</v>
      </c>
      <c r="N53" s="95">
        <f>IF(_xlfn.XLOOKUP(ROW(N53)+1-ROW(N$40),報告用!$AL$44:$AL$87,報告用!$E$44:$E$87,"",FALSE)=L53,"",_xlfn.XLOOKUP(ROW(N53)+1-ROW(N$40),報告用!$AL$44:$AL$87,報告用!$E$44:$E$87,"",FALSE))</f>
        <v>11</v>
      </c>
      <c r="P53" s="237"/>
      <c r="Q53" s="92">
        <f>_xlfn.XLOOKUP(ROW(Q53)+1-ROW(Q$40),報告用!$AM$44:$AM$87,報告用!$F$44:$F$87,"",FALSE)</f>
        <v>12</v>
      </c>
      <c r="R53" s="151" t="str">
        <f>_xlfn.XLOOKUP(ROW(R53)+1-ROW(R$40),報告用!$AM$44:$AM$87,報告用!$G$44:$G$87,"",FALSE)</f>
        <v>鴨下　恵美子</v>
      </c>
      <c r="S53" s="95">
        <f>IF(_xlfn.XLOOKUP(ROW(S53)+1-ROW(S$40),報告用!$AM$44:$AM$87,報告用!$E$44:$E$87,"",FALSE)=Q53,"",_xlfn.XLOOKUP(ROW(S53)+1-ROW(S$40),報告用!$AM$44:$AM$87,報告用!$E$44:$E$87,"",FALSE))</f>
        <v>11</v>
      </c>
      <c r="U53" s="237"/>
      <c r="V53" s="92">
        <f>_xlfn.XLOOKUP(ROW(V53)+1-ROW(V$40),報告用!$AN$44:$AN$87,報告用!$F$44:$F$87,"",FALSE)</f>
        <v>12</v>
      </c>
      <c r="W53" s="151" t="str">
        <f>_xlfn.XLOOKUP(ROW(W53)+1-ROW(W$40),報告用!$AN$44:$AN$87,報告用!$G$44:$G$87,"",FALSE)</f>
        <v>鴨下　恵美子</v>
      </c>
      <c r="X53" s="95">
        <f>IF(_xlfn.XLOOKUP(ROW(X53)+1-ROW(X$40),報告用!$AN$44:$AN$87,報告用!$E$44:$E$87,"",FALSE)=V53,"",_xlfn.XLOOKUP(ROW(X53)+1-ROW(X$40),報告用!$AN$44:$AN$87,報告用!$E$44:$E$87,"",FALSE))</f>
        <v>11</v>
      </c>
      <c r="Y53" s="77"/>
      <c r="Z53" s="237"/>
      <c r="AA53" s="92">
        <f>_xlfn.XLOOKUP(ROW(AA53)+1-ROW(AA$40),報告用!$AO$44:$AO$87,報告用!$F$44:$F$87,"",FALSE)</f>
        <v>12</v>
      </c>
      <c r="AB53" s="151" t="str">
        <f>_xlfn.XLOOKUP(ROW(AB53)+1-ROW(AB$40),報告用!$AO$44:$AO$87,報告用!$G$44:$G$87,"",FALSE)</f>
        <v>鴨下　恵美子</v>
      </c>
      <c r="AC53" s="95">
        <f>IF(_xlfn.XLOOKUP(ROW(AC53)+1-ROW(AC$40),報告用!$AO$44:$AO$87,報告用!$E$44:$E$87,"",FALSE)=AA53,"",_xlfn.XLOOKUP(ROW(AC53)+1-ROW(AC$40),報告用!$AO$44:$AO$87,報告用!$E$44:$E$87,"",FALSE))</f>
        <v>11</v>
      </c>
    </row>
    <row r="54" spans="1:29" ht="32.1" customHeight="1" thickBot="1">
      <c r="A54" s="243"/>
      <c r="B54" s="156" t="str">
        <f>_xlfn.XLOOKUP(ROW(B54)+1-ROW(B$52),報告用!$AE$44:$AE$87,報告用!$F$44:$F$87,"",FALSE)</f>
        <v/>
      </c>
      <c r="C54" s="157" t="str">
        <f>_xlfn.XLOOKUP(ROW(C54)+1-ROW(C$52),報告用!$AE$44:$AE$87,報告用!$G$44:$G$87,"",FALSE)</f>
        <v/>
      </c>
      <c r="D54" s="158" t="str">
        <f>IF(_xlfn.XLOOKUP(ROW(D54)+1-ROW(D$52),報告用!$AE$44:$AE$87,報告用!$E$44:$E$87,"",FALSE)=B54,"",_xlfn.XLOOKUP(ROW(D54)+1-ROW(D$52),報告用!$AE$44:$AE$87,報告用!$E$44:$E$87,"",FALSE))</f>
        <v/>
      </c>
      <c r="F54" s="240"/>
      <c r="G54" s="156">
        <f>_xlfn.XLOOKUP(ROW(G54)+1-ROW(G$40),報告用!$AK$44:$AK$87,報告用!$F$44:$F$87,"",FALSE)</f>
        <v>12</v>
      </c>
      <c r="H54" s="157" t="str">
        <f>_xlfn.XLOOKUP(ROW(H54)+1-ROW(H$40),報告用!$AK$44:$AK$87,報告用!$G$44:$G$87,"",FALSE)</f>
        <v>深水　洋子</v>
      </c>
      <c r="I54" s="95" t="str">
        <f>IF(_xlfn.XLOOKUP(ROW(I54)+1-ROW(I$40),報告用!$AK$44:$AK$87,報告用!$E$44:$E$87,"",FALSE)=G54,"",_xlfn.XLOOKUP(ROW(I54)+1-ROW(I$40),報告用!$AK$44:$AK$87,報告用!$E$44:$E$87,"",FALSE))</f>
        <v/>
      </c>
      <c r="J54" s="77"/>
      <c r="K54" s="240"/>
      <c r="L54" s="156">
        <f>_xlfn.XLOOKUP(ROW(L54)+1-ROW(L$40),報告用!$AL$44:$AL$87,報告用!$F$44:$F$87,"",FALSE)</f>
        <v>12</v>
      </c>
      <c r="M54" s="157" t="str">
        <f>_xlfn.XLOOKUP(ROW(M54)+1-ROW(M$40),報告用!$AL$44:$AL$87,報告用!$G$44:$G$87,"",FALSE)</f>
        <v>深水　洋子</v>
      </c>
      <c r="N54" s="158" t="str">
        <f>IF(_xlfn.XLOOKUP(ROW(N54)+1-ROW(N$40),報告用!$AL$44:$AL$87,報告用!$E$44:$E$87,"",FALSE)=L54,"",_xlfn.XLOOKUP(ROW(N54)+1-ROW(N$40),報告用!$AL$44:$AL$87,報告用!$E$44:$E$87,"",FALSE))</f>
        <v/>
      </c>
      <c r="P54" s="240"/>
      <c r="Q54" s="156">
        <f>_xlfn.XLOOKUP(ROW(Q54)+1-ROW(Q$40),報告用!$AM$44:$AM$87,報告用!$F$44:$F$87,"",FALSE)</f>
        <v>12</v>
      </c>
      <c r="R54" s="157" t="str">
        <f>_xlfn.XLOOKUP(ROW(R54)+1-ROW(R$40),報告用!$AM$44:$AM$87,報告用!$G$44:$G$87,"",FALSE)</f>
        <v>深水　洋子</v>
      </c>
      <c r="S54" s="158" t="str">
        <f>IF(_xlfn.XLOOKUP(ROW(S54)+1-ROW(S$40),報告用!$AM$44:$AM$87,報告用!$E$44:$E$87,"",FALSE)=Q54,"",_xlfn.XLOOKUP(ROW(S54)+1-ROW(S$40),報告用!$AM$44:$AM$87,報告用!$E$44:$E$87,"",FALSE))</f>
        <v/>
      </c>
      <c r="U54" s="240"/>
      <c r="V54" s="156">
        <f>_xlfn.XLOOKUP(ROW(V54)+1-ROW(V$40),報告用!$AN$44:$AN$87,報告用!$F$44:$F$87,"",FALSE)</f>
        <v>12</v>
      </c>
      <c r="W54" s="157" t="str">
        <f>_xlfn.XLOOKUP(ROW(W54)+1-ROW(W$40),報告用!$AN$44:$AN$87,報告用!$G$44:$G$87,"",FALSE)</f>
        <v>深水　洋子</v>
      </c>
      <c r="X54" s="158" t="str">
        <f>IF(_xlfn.XLOOKUP(ROW(X54)+1-ROW(X$40),報告用!$AN$44:$AN$87,報告用!$E$44:$E$87,"",FALSE)=V54,"",_xlfn.XLOOKUP(ROW(X54)+1-ROW(X$40),報告用!$AN$44:$AN$87,報告用!$E$44:$E$87,"",FALSE))</f>
        <v/>
      </c>
      <c r="Y54" s="77"/>
      <c r="Z54" s="240"/>
      <c r="AA54" s="156">
        <f>_xlfn.XLOOKUP(ROW(AA54)+1-ROW(AA$40),報告用!$AO$44:$AO$87,報告用!$F$44:$F$87,"",FALSE)</f>
        <v>12</v>
      </c>
      <c r="AB54" s="157" t="str">
        <f>_xlfn.XLOOKUP(ROW(AB54)+1-ROW(AB$40),報告用!$AO$44:$AO$87,報告用!$G$44:$G$87,"",FALSE)</f>
        <v>深水　洋子</v>
      </c>
      <c r="AC54" s="158" t="str">
        <f>IF(_xlfn.XLOOKUP(ROW(AC54)+1-ROW(AC$40),報告用!$AO$44:$AO$87,報告用!$E$44:$E$87,"",FALSE)=AA54,"",_xlfn.XLOOKUP(ROW(AC54)+1-ROW(AC$40),報告用!$AO$44:$AO$87,報告用!$E$44:$E$87,"",FALSE))</f>
        <v/>
      </c>
    </row>
  </sheetData>
  <sheetProtection sheet="1" objects="1" scenarios="1"/>
  <mergeCells count="56">
    <mergeCell ref="U40:U54"/>
    <mergeCell ref="Z40:Z54"/>
    <mergeCell ref="P30:P31"/>
    <mergeCell ref="Q30:S30"/>
    <mergeCell ref="U30:U31"/>
    <mergeCell ref="V30:X30"/>
    <mergeCell ref="Z30:Z31"/>
    <mergeCell ref="P32:P39"/>
    <mergeCell ref="P40:P54"/>
    <mergeCell ref="P5:P12"/>
    <mergeCell ref="U5:U12"/>
    <mergeCell ref="F28:X29"/>
    <mergeCell ref="U32:U39"/>
    <mergeCell ref="Z5:Z12"/>
    <mergeCell ref="P13:P27"/>
    <mergeCell ref="U13:U27"/>
    <mergeCell ref="Z13:Z27"/>
    <mergeCell ref="Z32:Z39"/>
    <mergeCell ref="A32:A43"/>
    <mergeCell ref="F32:F39"/>
    <mergeCell ref="K32:K39"/>
    <mergeCell ref="F40:F54"/>
    <mergeCell ref="K40:K54"/>
    <mergeCell ref="A44:A51"/>
    <mergeCell ref="A52:A54"/>
    <mergeCell ref="A29:D29"/>
    <mergeCell ref="Z29:AC29"/>
    <mergeCell ref="A30:A31"/>
    <mergeCell ref="B30:D30"/>
    <mergeCell ref="F30:F31"/>
    <mergeCell ref="G30:I30"/>
    <mergeCell ref="K30:K31"/>
    <mergeCell ref="L30:N30"/>
    <mergeCell ref="AA30:AC30"/>
    <mergeCell ref="A5:A16"/>
    <mergeCell ref="F5:F12"/>
    <mergeCell ref="K5:K12"/>
    <mergeCell ref="F13:F27"/>
    <mergeCell ref="K13:K27"/>
    <mergeCell ref="A17:A24"/>
    <mergeCell ref="A25:A27"/>
    <mergeCell ref="A2:D2"/>
    <mergeCell ref="Z2:AC2"/>
    <mergeCell ref="A3:A4"/>
    <mergeCell ref="B3:D3"/>
    <mergeCell ref="F3:F4"/>
    <mergeCell ref="G3:I3"/>
    <mergeCell ref="K3:K4"/>
    <mergeCell ref="L3:N3"/>
    <mergeCell ref="AA3:AC3"/>
    <mergeCell ref="F1:X2"/>
    <mergeCell ref="P3:P4"/>
    <mergeCell ref="Q3:S3"/>
    <mergeCell ref="U3:U4"/>
    <mergeCell ref="V3:X3"/>
    <mergeCell ref="Z3:Z4"/>
  </mergeCells>
  <phoneticPr fontId="1"/>
  <pageMargins left="0.23622047244094491" right="0.23622047244094491" top="1.1417322834645669" bottom="0.35433070866141736" header="0.31496062992125984" footer="0.31496062992125984"/>
  <pageSetup paperSize="8" scale="8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CE05-47CB-4774-9C2D-C20EE072697F}">
  <dimension ref="A1:Q80"/>
  <sheetViews>
    <sheetView workbookViewId="0">
      <selection activeCell="H24" sqref="H24"/>
    </sheetView>
  </sheetViews>
  <sheetFormatPr defaultRowHeight="27" customHeight="1"/>
  <cols>
    <col min="1" max="2" width="6.625" style="76" customWidth="1"/>
    <col min="3" max="3" width="18.625" style="76" customWidth="1"/>
    <col min="4" max="4" width="4.125" style="76" bestFit="1" customWidth="1"/>
    <col min="5" max="5" width="6.625" style="76" customWidth="1"/>
    <col min="6" max="6" width="1.625" style="76" customWidth="1"/>
    <col min="7" max="8" width="6.625" style="76" customWidth="1"/>
    <col min="9" max="9" width="18.625" style="76" customWidth="1"/>
    <col min="10" max="10" width="4.125" style="76" bestFit="1" customWidth="1"/>
    <col min="11" max="11" width="6.625" style="76" customWidth="1"/>
    <col min="12" max="12" width="1.625" style="76" customWidth="1"/>
    <col min="13" max="14" width="6.625" style="76" customWidth="1"/>
    <col min="15" max="15" width="18.625" style="76" customWidth="1"/>
    <col min="16" max="16" width="4.125" style="76" bestFit="1" customWidth="1"/>
    <col min="17" max="17" width="6.625" style="76" customWidth="1"/>
    <col min="18" max="16384" width="9" style="1"/>
  </cols>
  <sheetData>
    <row r="1" spans="1:17" ht="27" customHeight="1">
      <c r="A1" s="75"/>
      <c r="B1" s="75"/>
      <c r="C1" s="75"/>
      <c r="D1" s="75"/>
      <c r="E1" s="75"/>
      <c r="F1" s="75"/>
      <c r="G1" s="233" t="s">
        <v>40</v>
      </c>
      <c r="H1" s="233"/>
      <c r="I1" s="233"/>
      <c r="J1" s="233"/>
      <c r="K1" s="233"/>
      <c r="L1" s="75"/>
      <c r="M1" s="75"/>
      <c r="N1" s="75"/>
      <c r="O1" s="75"/>
      <c r="P1" s="75"/>
      <c r="Q1" s="75"/>
    </row>
    <row r="2" spans="1:17" ht="27" customHeight="1" thickBot="1">
      <c r="A2" s="256" t="s">
        <v>50</v>
      </c>
      <c r="B2" s="256"/>
      <c r="C2" s="256"/>
      <c r="D2" s="256"/>
      <c r="E2" s="256"/>
      <c r="F2" s="75"/>
      <c r="G2" s="255"/>
      <c r="H2" s="255"/>
      <c r="I2" s="255"/>
      <c r="J2" s="255"/>
      <c r="K2" s="255"/>
      <c r="L2" s="75"/>
      <c r="M2" s="257">
        <f>報告用!$O$2</f>
        <v>46106</v>
      </c>
      <c r="N2" s="257"/>
      <c r="O2" s="257"/>
      <c r="P2" s="257"/>
      <c r="Q2" s="257"/>
    </row>
    <row r="3" spans="1:17" ht="27" customHeight="1">
      <c r="A3" s="258" t="s">
        <v>31</v>
      </c>
      <c r="B3" s="251" t="s">
        <v>36</v>
      </c>
      <c r="C3" s="251"/>
      <c r="D3" s="251"/>
      <c r="E3" s="252"/>
      <c r="G3" s="258" t="s">
        <v>31</v>
      </c>
      <c r="H3" s="251" t="s">
        <v>9</v>
      </c>
      <c r="I3" s="251"/>
      <c r="J3" s="251"/>
      <c r="K3" s="252"/>
      <c r="L3" s="77"/>
      <c r="M3" s="258" t="s">
        <v>31</v>
      </c>
      <c r="N3" s="251" t="s">
        <v>10</v>
      </c>
      <c r="O3" s="251"/>
      <c r="P3" s="251"/>
      <c r="Q3" s="252"/>
    </row>
    <row r="4" spans="1:17" ht="27" customHeight="1" thickBot="1">
      <c r="A4" s="247"/>
      <c r="B4" s="78" t="s">
        <v>18</v>
      </c>
      <c r="C4" s="253" t="s">
        <v>17</v>
      </c>
      <c r="D4" s="254"/>
      <c r="E4" s="79" t="s">
        <v>30</v>
      </c>
      <c r="G4" s="247"/>
      <c r="H4" s="78" t="s">
        <v>18</v>
      </c>
      <c r="I4" s="253" t="s">
        <v>17</v>
      </c>
      <c r="J4" s="254"/>
      <c r="K4" s="79" t="s">
        <v>30</v>
      </c>
      <c r="L4" s="77"/>
      <c r="M4" s="247"/>
      <c r="N4" s="78" t="s">
        <v>18</v>
      </c>
      <c r="O4" s="253" t="s">
        <v>17</v>
      </c>
      <c r="P4" s="254"/>
      <c r="Q4" s="79" t="s">
        <v>30</v>
      </c>
    </row>
    <row r="5" spans="1:17" ht="27" customHeight="1" thickTop="1">
      <c r="A5" s="248" t="s">
        <v>32</v>
      </c>
      <c r="B5" s="80">
        <f>_xlfn.XLOOKUP(ROW(B5)-ROW(B$4),報告用!$AC$4:$AC$37,報告用!F$4:F$37,"",FALSE)</f>
        <v>18</v>
      </c>
      <c r="C5" s="81" t="str">
        <f>_xlfn.XLOOKUP(ROW(C5)-ROW(C$4),報告用!$AC$4:$AC$37,報告用!G$4:G$37,"",FALSE)</f>
        <v>吉井　用子</v>
      </c>
      <c r="D5" s="82" t="str">
        <f>IF(C5="","","様")</f>
        <v>様</v>
      </c>
      <c r="E5" s="83" t="str">
        <f>IF(_xlfn.XLOOKUP(ROW(E5)-ROW(E$4),報告用!$AC$4:$AC$37,報告用!E$4:E$37,"",FALSE)=B5,"",_xlfn.XLOOKUP(ROW(E5)-ROW(E$4),報告用!$AC$4:$AC$37,報告用!E$4:E$37,"",FALSE))</f>
        <v/>
      </c>
      <c r="G5" s="245" t="s">
        <v>35</v>
      </c>
      <c r="H5" s="80">
        <f>_xlfn.XLOOKUP(ROW(H5)-ROW(H$4),報告用!$AF$4:$AF$37,報告用!$F$4:$F$37,"",FALSE)</f>
        <v>15</v>
      </c>
      <c r="I5" s="81" t="str">
        <f>_xlfn.XLOOKUP(ROW(I5)-ROW(I$4),報告用!$AF$4:$AF$37,報告用!$G$4:$G$37,"",FALSE)</f>
        <v>志村とも子</v>
      </c>
      <c r="J5" s="82" t="str">
        <f t="shared" ref="J5:J20" si="0">IF(I5="","","様")</f>
        <v>様</v>
      </c>
      <c r="K5" s="83" t="str">
        <f>IF(_xlfn.XLOOKUP(ROW(K5)-ROW(K$4),報告用!$AF$4:$AF$37,報告用!$E$4:$E$37,"",FALSE)=H5,"",_xlfn.XLOOKUP(ROW(K5)-ROW(K$4),報告用!$AF$4:$AF$37,報告用!$E$4:$E$37,"",FALSE))</f>
        <v/>
      </c>
      <c r="L5" s="77"/>
      <c r="M5" s="245" t="s">
        <v>35</v>
      </c>
      <c r="N5" s="80">
        <f>_xlfn.XLOOKUP(ROW(N5)-ROW(N$4),報告用!$AG$4:$AG$37,報告用!$F$4:$F$37,"",FALSE)</f>
        <v>15</v>
      </c>
      <c r="O5" s="81" t="str">
        <f>_xlfn.XLOOKUP(ROW(O5)-ROW(O$4),報告用!$AG$4:$AG$37,報告用!$G$4:$G$37,"",FALSE)</f>
        <v>志村とも子</v>
      </c>
      <c r="P5" s="82" t="str">
        <f t="shared" ref="P5:P20" si="1">IF(O5="","","様")</f>
        <v>様</v>
      </c>
      <c r="Q5" s="83" t="str">
        <f>IF(_xlfn.XLOOKUP(ROW(Q5)-ROW(Q$4),報告用!$AG$4:$AG$37,報告用!$E$4:$E$37,"",FALSE)=N5,"",_xlfn.XLOOKUP(ROW(Q5)-ROW(Q$4),報告用!$AG$4:$AG$37,報告用!$E$4:$E$37,"",FALSE))</f>
        <v/>
      </c>
    </row>
    <row r="6" spans="1:17" ht="27" customHeight="1">
      <c r="A6" s="249"/>
      <c r="B6" s="84">
        <f>_xlfn.XLOOKUP(ROW(B6)-ROW(B$4),報告用!$AC$4:$AC$37,報告用!F$4:F$37,"",FALSE)</f>
        <v>20</v>
      </c>
      <c r="C6" s="85" t="str">
        <f>_xlfn.XLOOKUP(ROW(C6)-ROW(C$4),報告用!$AC$4:$AC$37,報告用!G$4:G$37,"",FALSE)</f>
        <v>★上條　礼子</v>
      </c>
      <c r="D6" s="86" t="str">
        <f t="shared" ref="D6:D12" si="2">IF(C6="","","様")</f>
        <v>様</v>
      </c>
      <c r="E6" s="87" t="str">
        <f>IF(_xlfn.XLOOKUP(ROW(E6)-ROW(E$4),報告用!$AC$4:$AC$37,報告用!E$4:E$37,"",FALSE)=B6,"",_xlfn.XLOOKUP(ROW(E6)-ROW(E$4),報告用!$AC$4:$AC$37,報告用!E$4:E$37,"",FALSE))</f>
        <v/>
      </c>
      <c r="G6" s="246"/>
      <c r="H6" s="84">
        <f>_xlfn.XLOOKUP(ROW(H6)-ROW(H$4),報告用!$AF$4:$AF$37,報告用!$F$4:$F$37,"",FALSE)</f>
        <v>15</v>
      </c>
      <c r="I6" s="85" t="str">
        <f>_xlfn.XLOOKUP(ROW(I6)-ROW(I$4),報告用!$AF$4:$AF$37,報告用!$G$4:$G$37,"",FALSE)</f>
        <v>飯室　純江</v>
      </c>
      <c r="J6" s="86" t="str">
        <f t="shared" si="0"/>
        <v>様</v>
      </c>
      <c r="K6" s="87" t="str">
        <f>IF(_xlfn.XLOOKUP(ROW(K6)-ROW(K$4),報告用!$AF$4:$AF$37,報告用!$E$4:$E$37,"",FALSE)=H6,"",_xlfn.XLOOKUP(ROW(K6)-ROW(K$4),報告用!$AF$4:$AF$37,報告用!$E$4:$E$37,"",FALSE))</f>
        <v/>
      </c>
      <c r="L6" s="77"/>
      <c r="M6" s="246"/>
      <c r="N6" s="84">
        <f>_xlfn.XLOOKUP(ROW(N6)-ROW(N$4),報告用!$AG$4:$AG$37,報告用!$F$4:$F$37,"",FALSE)</f>
        <v>15</v>
      </c>
      <c r="O6" s="85" t="str">
        <f>_xlfn.XLOOKUP(ROW(O6)-ROW(O$4),報告用!$AG$4:$AG$37,報告用!$G$4:$G$37,"",FALSE)</f>
        <v>望月　美希</v>
      </c>
      <c r="P6" s="86" t="str">
        <f t="shared" si="1"/>
        <v>様</v>
      </c>
      <c r="Q6" s="87" t="str">
        <f>IF(_xlfn.XLOOKUP(ROW(Q6)-ROW(Q$4),報告用!$AG$4:$AG$37,報告用!$E$4:$E$37,"",FALSE)=N6,"",_xlfn.XLOOKUP(ROW(Q6)-ROW(Q$4),報告用!$AG$4:$AG$37,報告用!$E$4:$E$37,"",FALSE))</f>
        <v/>
      </c>
    </row>
    <row r="7" spans="1:17" ht="27" customHeight="1">
      <c r="A7" s="249"/>
      <c r="B7" s="84" t="str">
        <f>_xlfn.XLOOKUP(ROW(B7)-ROW(B$4),報告用!$AC$4:$AC$37,報告用!F$4:F$37,"",FALSE)</f>
        <v/>
      </c>
      <c r="C7" s="85" t="str">
        <f>_xlfn.XLOOKUP(ROW(C7)-ROW(C$4),報告用!$AC$4:$AC$37,報告用!G$4:G$37,"",FALSE)</f>
        <v/>
      </c>
      <c r="D7" s="86" t="str">
        <f t="shared" si="2"/>
        <v/>
      </c>
      <c r="E7" s="87" t="str">
        <f>IF(_xlfn.XLOOKUP(ROW(E7)-ROW(E$4),報告用!$AC$4:$AC$37,報告用!E$4:E$37,"",FALSE)=B7,"",_xlfn.XLOOKUP(ROW(E7)-ROW(E$4),報告用!$AC$4:$AC$37,報告用!E$4:E$37,"",FALSE))</f>
        <v/>
      </c>
      <c r="G7" s="246"/>
      <c r="H7" s="84">
        <f>_xlfn.XLOOKUP(ROW(H7)-ROW(H$4),報告用!$AF$4:$AF$37,報告用!$F$4:$F$37,"",FALSE)</f>
        <v>16</v>
      </c>
      <c r="I7" s="85" t="str">
        <f>_xlfn.XLOOKUP(ROW(I7)-ROW(I$4),報告用!$AF$4:$AF$37,報告用!$G$4:$G$37,"",FALSE)</f>
        <v>里吉　松子</v>
      </c>
      <c r="J7" s="86" t="str">
        <f t="shared" si="0"/>
        <v>様</v>
      </c>
      <c r="K7" s="87" t="str">
        <f>IF(_xlfn.XLOOKUP(ROW(K7)-ROW(K$4),報告用!$AF$4:$AF$37,報告用!$E$4:$E$37,"",FALSE)=H7,"",_xlfn.XLOOKUP(ROW(K7)-ROW(K$4),報告用!$AF$4:$AF$37,報告用!$E$4:$E$37,"",FALSE))</f>
        <v/>
      </c>
      <c r="L7" s="77"/>
      <c r="M7" s="246"/>
      <c r="N7" s="84">
        <f>_xlfn.XLOOKUP(ROW(N7)-ROW(N$4),報告用!$AG$4:$AG$37,報告用!$F$4:$F$37,"",FALSE)</f>
        <v>16</v>
      </c>
      <c r="O7" s="85" t="str">
        <f>_xlfn.XLOOKUP(ROW(O7)-ROW(O$4),報告用!$AG$4:$AG$37,報告用!$G$4:$G$37,"",FALSE)</f>
        <v>里吉　松子</v>
      </c>
      <c r="P7" s="86" t="str">
        <f t="shared" si="1"/>
        <v>様</v>
      </c>
      <c r="Q7" s="87" t="str">
        <f>IF(_xlfn.XLOOKUP(ROW(Q7)-ROW(Q$4),報告用!$AG$4:$AG$37,報告用!$E$4:$E$37,"",FALSE)=N7,"",_xlfn.XLOOKUP(ROW(Q7)-ROW(Q$4),報告用!$AG$4:$AG$37,報告用!$E$4:$E$37,"",FALSE))</f>
        <v/>
      </c>
    </row>
    <row r="8" spans="1:17" ht="27" customHeight="1" thickBot="1">
      <c r="A8" s="249"/>
      <c r="B8" s="84" t="str">
        <f>_xlfn.XLOOKUP(ROW(B8)-ROW(B$4),報告用!$AC$4:$AC$37,報告用!F$4:F$37,"",FALSE)</f>
        <v/>
      </c>
      <c r="C8" s="85" t="str">
        <f>_xlfn.XLOOKUP(ROW(C8)-ROW(C$4),報告用!$AC$4:$AC$37,報告用!G$4:G$37,"",FALSE)</f>
        <v/>
      </c>
      <c r="D8" s="86" t="str">
        <f t="shared" si="2"/>
        <v/>
      </c>
      <c r="E8" s="87" t="str">
        <f>IF(_xlfn.XLOOKUP(ROW(E8)-ROW(E$4),報告用!$AC$4:$AC$37,報告用!E$4:E$37,"",FALSE)=B8,"",_xlfn.XLOOKUP(ROW(E8)-ROW(E$4),報告用!$AC$4:$AC$37,報告用!E$4:E$37,"",FALSE))</f>
        <v/>
      </c>
      <c r="G8" s="247"/>
      <c r="H8" s="88">
        <f>_xlfn.XLOOKUP(ROW(H8)-ROW(H$4),報告用!$AF$4:$AF$37,報告用!$F$4:$F$37,"",FALSE)</f>
        <v>16</v>
      </c>
      <c r="I8" s="89" t="str">
        <f>_xlfn.XLOOKUP(ROW(I8)-ROW(I$4),報告用!$AF$4:$AF$37,報告用!$G$4:$G$37,"",FALSE)</f>
        <v>森　たい子</v>
      </c>
      <c r="J8" s="90" t="str">
        <f t="shared" si="0"/>
        <v>様</v>
      </c>
      <c r="K8" s="91" t="str">
        <f>IF(_xlfn.XLOOKUP(ROW(K8)-ROW(K$4),報告用!$AF$4:$AF$37,報告用!$E$4:$E$37,"",FALSE)=H8,"",_xlfn.XLOOKUP(ROW(K8)-ROW(K$4),報告用!$AF$4:$AF$37,報告用!$E$4:$E$37,"",FALSE))</f>
        <v/>
      </c>
      <c r="L8" s="77"/>
      <c r="M8" s="247"/>
      <c r="N8" s="88">
        <f>_xlfn.XLOOKUP(ROW(N8)-ROW(N$4),報告用!$AG$4:$AG$37,報告用!$F$4:$F$37,"",FALSE)</f>
        <v>16</v>
      </c>
      <c r="O8" s="89" t="str">
        <f>_xlfn.XLOOKUP(ROW(O8)-ROW(O$4),報告用!$AG$4:$AG$37,報告用!$G$4:$G$37,"",FALSE)</f>
        <v>森　たい子</v>
      </c>
      <c r="P8" s="90" t="str">
        <f t="shared" si="1"/>
        <v>様</v>
      </c>
      <c r="Q8" s="91" t="str">
        <f>IF(_xlfn.XLOOKUP(ROW(Q8)-ROW(Q$4),報告用!$AG$4:$AG$37,報告用!$E$4:$E$37,"",FALSE)=N8,"",_xlfn.XLOOKUP(ROW(Q8)-ROW(Q$4),報告用!$AG$4:$AG$37,報告用!$E$4:$E$37,"",FALSE))</f>
        <v/>
      </c>
    </row>
    <row r="9" spans="1:17" ht="27" customHeight="1" thickTop="1">
      <c r="A9" s="249"/>
      <c r="B9" s="84" t="str">
        <f>_xlfn.XLOOKUP(ROW(B9)-ROW(B$4),報告用!$AC$4:$AC$37,報告用!F$4:F$37,"",FALSE)</f>
        <v/>
      </c>
      <c r="C9" s="85" t="str">
        <f>_xlfn.XLOOKUP(ROW(C9)-ROW(C$4),報告用!$AC$4:$AC$37,報告用!G$4:G$37,"",FALSE)</f>
        <v/>
      </c>
      <c r="D9" s="86" t="str">
        <f t="shared" si="2"/>
        <v/>
      </c>
      <c r="E9" s="87" t="str">
        <f>IF(_xlfn.XLOOKUP(ROW(E9)-ROW(E$4),報告用!$AC$4:$AC$37,報告用!E$4:E$37,"",FALSE)=B9,"",_xlfn.XLOOKUP(ROW(E9)-ROW(E$4),報告用!$AC$4:$AC$37,報告用!E$4:E$37,"",FALSE))</f>
        <v/>
      </c>
      <c r="G9" s="249" t="s">
        <v>25</v>
      </c>
      <c r="H9" s="92">
        <f>_xlfn.XLOOKUP(ROW(H9)-ROW(H$8),報告用!$AK$4:$AK$37,報告用!$F$4:$F$37,"",FALSE)</f>
        <v>15</v>
      </c>
      <c r="I9" s="93" t="str">
        <f>_xlfn.XLOOKUP(ROW(I9)-ROW(I$8),報告用!$AK$4:$AK$37,報告用!$G$4:$G$37,"",FALSE)</f>
        <v>志村とも子</v>
      </c>
      <c r="J9" s="94" t="str">
        <f t="shared" si="0"/>
        <v>様</v>
      </c>
      <c r="K9" s="95" t="str">
        <f>IF(_xlfn.XLOOKUP(ROW(K9)-ROW(K$8),報告用!$AK$4:$AK$37,報告用!$E$4:$E$37,"",FALSE)=H9,"",_xlfn.XLOOKUP(ROW(K9)-ROW(K$8),報告用!$AK$4:$AK$37,報告用!$E$4:$E$37,"",FALSE))</f>
        <v/>
      </c>
      <c r="L9" s="77"/>
      <c r="M9" s="249" t="s">
        <v>25</v>
      </c>
      <c r="N9" s="92">
        <f>_xlfn.XLOOKUP(ROW(N9)-ROW(N$8),報告用!$AL$4:$AL$37,報告用!$F$4:$F$37,"",FALSE)</f>
        <v>15</v>
      </c>
      <c r="O9" s="93" t="str">
        <f>_xlfn.XLOOKUP(ROW(O9)-ROW(O$8),報告用!$AL$4:$AL$37,報告用!$G$4:$G$37,"",FALSE)</f>
        <v>志村とも子</v>
      </c>
      <c r="P9" s="94" t="str">
        <f t="shared" si="1"/>
        <v>様</v>
      </c>
      <c r="Q9" s="95" t="str">
        <f>IF(_xlfn.XLOOKUP(ROW(Q9)-ROW(Q$8),報告用!$AL$4:$AL$37,報告用!$E$4:$E$37,"",FALSE)=N9,"",_xlfn.XLOOKUP(ROW(Q9)-ROW(Q$8),報告用!$AL$4:$AL$37,報告用!$E$4:$E$37,"",FALSE))</f>
        <v/>
      </c>
    </row>
    <row r="10" spans="1:17" ht="27" customHeight="1">
      <c r="A10" s="249"/>
      <c r="B10" s="84" t="str">
        <f>_xlfn.XLOOKUP(ROW(B10)-ROW(B$4),報告用!$AC$4:$AC$37,報告用!F$4:F$37,"",FALSE)</f>
        <v/>
      </c>
      <c r="C10" s="85" t="str">
        <f>_xlfn.XLOOKUP(ROW(C10)-ROW(C$4),報告用!$AC$4:$AC$37,報告用!G$4:G$37,"",FALSE)</f>
        <v/>
      </c>
      <c r="D10" s="86" t="str">
        <f t="shared" si="2"/>
        <v/>
      </c>
      <c r="E10" s="87" t="str">
        <f>IF(_xlfn.XLOOKUP(ROW(E10)-ROW(E$4),報告用!$AC$4:$AC$37,報告用!E$4:E$37,"",FALSE)=B10,"",_xlfn.XLOOKUP(ROW(E10)-ROW(E$4),報告用!$AC$4:$AC$37,報告用!E$4:E$37,"",FALSE))</f>
        <v/>
      </c>
      <c r="G10" s="249"/>
      <c r="H10" s="84">
        <f>_xlfn.XLOOKUP(ROW(H10)-ROW(H$8),報告用!$AK$4:$AK$37,報告用!$F$4:$F$37,"",FALSE)</f>
        <v>15</v>
      </c>
      <c r="I10" s="85" t="str">
        <f>_xlfn.XLOOKUP(ROW(I10)-ROW(I$8),報告用!$AK$4:$AK$37,報告用!$G$4:$G$37,"",FALSE)</f>
        <v>佐藤　亜美</v>
      </c>
      <c r="J10" s="86" t="str">
        <f t="shared" si="0"/>
        <v>様</v>
      </c>
      <c r="K10" s="87" t="str">
        <f>IF(_xlfn.XLOOKUP(ROW(K10)-ROW(K$8),報告用!$AK$4:$AK$37,報告用!$E$4:$E$37,"",FALSE)=H10,"",_xlfn.XLOOKUP(ROW(K10)-ROW(K$8),報告用!$AK$4:$AK$37,報告用!$E$4:$E$37,"",FALSE))</f>
        <v/>
      </c>
      <c r="L10" s="77"/>
      <c r="M10" s="249"/>
      <c r="N10" s="84">
        <f>_xlfn.XLOOKUP(ROW(N10)-ROW(N$8),報告用!$AL$4:$AL$37,報告用!$F$4:$F$37,"",FALSE)</f>
        <v>15</v>
      </c>
      <c r="O10" s="85" t="str">
        <f>_xlfn.XLOOKUP(ROW(O10)-ROW(O$8),報告用!$AL$4:$AL$37,報告用!$G$4:$G$37,"",FALSE)</f>
        <v>佐藤　亜美</v>
      </c>
      <c r="P10" s="86" t="str">
        <f t="shared" si="1"/>
        <v>様</v>
      </c>
      <c r="Q10" s="87" t="str">
        <f>IF(_xlfn.XLOOKUP(ROW(Q10)-ROW(Q$8),報告用!$AL$4:$AL$37,報告用!$E$4:$E$37,"",FALSE)=N10,"",_xlfn.XLOOKUP(ROW(Q10)-ROW(Q$8),報告用!$AL$4:$AL$37,報告用!$E$4:$E$37,"",FALSE))</f>
        <v/>
      </c>
    </row>
    <row r="11" spans="1:17" ht="27" customHeight="1">
      <c r="A11" s="249"/>
      <c r="B11" s="84" t="str">
        <f>_xlfn.XLOOKUP(ROW(B11)-ROW(B$4),報告用!$AC$4:$AC$37,報告用!F$4:F$37,"",FALSE)</f>
        <v/>
      </c>
      <c r="C11" s="85" t="str">
        <f>_xlfn.XLOOKUP(ROW(C11)-ROW(C$4),報告用!$AC$4:$AC$37,報告用!G$4:G$37,"",FALSE)</f>
        <v/>
      </c>
      <c r="D11" s="86" t="str">
        <f t="shared" si="2"/>
        <v/>
      </c>
      <c r="E11" s="87" t="str">
        <f>IF(_xlfn.XLOOKUP(ROW(E11)-ROW(E$4),報告用!$AC$4:$AC$37,報告用!E$4:E$37,"",FALSE)=B11,"",_xlfn.XLOOKUP(ROW(E11)-ROW(E$4),報告用!$AC$4:$AC$37,報告用!E$4:E$37,"",FALSE))</f>
        <v/>
      </c>
      <c r="G11" s="249"/>
      <c r="H11" s="84" t="str">
        <f>_xlfn.XLOOKUP(ROW(H11)-ROW(H$8),報告用!$AK$4:$AK$37,報告用!$F$4:$F$37,"",FALSE)</f>
        <v/>
      </c>
      <c r="I11" s="85" t="str">
        <f>_xlfn.XLOOKUP(ROW(I11)-ROW(I$8),報告用!$AK$4:$AK$37,報告用!$G$4:$G$37,"",FALSE)</f>
        <v/>
      </c>
      <c r="J11" s="86" t="str">
        <f t="shared" si="0"/>
        <v/>
      </c>
      <c r="K11" s="87" t="str">
        <f>IF(_xlfn.XLOOKUP(ROW(K11)-ROW(K$8),報告用!$AK$4:$AK$37,報告用!$E$4:$E$37,"",FALSE)=H11,"",_xlfn.XLOOKUP(ROW(K11)-ROW(K$8),報告用!$AK$4:$AK$37,報告用!$E$4:$E$37,"",FALSE))</f>
        <v/>
      </c>
      <c r="L11" s="77"/>
      <c r="M11" s="249"/>
      <c r="N11" s="84">
        <f>_xlfn.XLOOKUP(ROW(N11)-ROW(N$8),報告用!$AL$4:$AL$37,報告用!$F$4:$F$37,"",FALSE)</f>
        <v>16</v>
      </c>
      <c r="O11" s="85" t="str">
        <f>_xlfn.XLOOKUP(ROW(O11)-ROW(O$8),報告用!$AL$4:$AL$37,報告用!$G$4:$G$37,"",FALSE)</f>
        <v>牛山　はつ子</v>
      </c>
      <c r="P11" s="86" t="str">
        <f t="shared" si="1"/>
        <v>様</v>
      </c>
      <c r="Q11" s="87" t="str">
        <f>IF(_xlfn.XLOOKUP(ROW(Q11)-ROW(Q$8),報告用!$AL$4:$AL$37,報告用!$E$4:$E$37,"",FALSE)=N11,"",_xlfn.XLOOKUP(ROW(Q11)-ROW(Q$8),報告用!$AL$4:$AL$37,報告用!$E$4:$E$37,"",FALSE))</f>
        <v/>
      </c>
    </row>
    <row r="12" spans="1:17" ht="27" customHeight="1" thickBot="1">
      <c r="A12" s="261"/>
      <c r="B12" s="88" t="str">
        <f>_xlfn.XLOOKUP(ROW(B12)-ROW(B$4),報告用!$AC$4:$AC$37,報告用!F$4:F$37,"",FALSE)</f>
        <v/>
      </c>
      <c r="C12" s="89" t="str">
        <f>_xlfn.XLOOKUP(ROW(C12)-ROW(C$4),報告用!$AC$4:$AC$37,報告用!G$4:G$37,"",FALSE)</f>
        <v/>
      </c>
      <c r="D12" s="90" t="str">
        <f t="shared" si="2"/>
        <v/>
      </c>
      <c r="E12" s="91" t="str">
        <f>IF(_xlfn.XLOOKUP(ROW(E12)-ROW(E$4),報告用!$AC$4:$AC$37,報告用!E$4:E$37,"",FALSE)=B12,"",_xlfn.XLOOKUP(ROW(E12)-ROW(E$4),報告用!$AC$4:$AC$37,報告用!E$4:E$37,"",FALSE))</f>
        <v/>
      </c>
      <c r="G12" s="249"/>
      <c r="H12" s="84">
        <f>_xlfn.XLOOKUP(ROW(H12)-ROW(H$8),報告用!$AK$4:$AK$37,報告用!$F$4:$F$37,"",FALSE)</f>
        <v>16</v>
      </c>
      <c r="I12" s="85" t="str">
        <f>_xlfn.XLOOKUP(ROW(I12)-ROW(I$8),報告用!$AK$4:$AK$37,報告用!$G$4:$G$37,"",FALSE)</f>
        <v>牛山　はつ子</v>
      </c>
      <c r="J12" s="86" t="str">
        <f t="shared" si="0"/>
        <v>様</v>
      </c>
      <c r="K12" s="87" t="str">
        <f>IF(_xlfn.XLOOKUP(ROW(K12)-ROW(K$8),報告用!$AK$4:$AK$37,報告用!$E$4:$E$37,"",FALSE)=H12,"",_xlfn.XLOOKUP(ROW(K12)-ROW(K$8),報告用!$AK$4:$AK$37,報告用!$E$4:$E$37,"",FALSE))</f>
        <v/>
      </c>
      <c r="L12" s="77"/>
      <c r="M12" s="249"/>
      <c r="N12" s="84">
        <f>_xlfn.XLOOKUP(ROW(N12)-ROW(N$8),報告用!$AL$4:$AL$37,報告用!$F$4:$F$37,"",FALSE)</f>
        <v>16</v>
      </c>
      <c r="O12" s="85" t="str">
        <f>_xlfn.XLOOKUP(ROW(O12)-ROW(O$8),報告用!$AL$4:$AL$37,報告用!$G$4:$G$37,"",FALSE)</f>
        <v>西山　望</v>
      </c>
      <c r="P12" s="86" t="str">
        <f t="shared" si="1"/>
        <v>様</v>
      </c>
      <c r="Q12" s="87" t="str">
        <f>IF(_xlfn.XLOOKUP(ROW(Q12)-ROW(Q$8),報告用!$AL$4:$AL$37,報告用!$E$4:$E$37,"",FALSE)=N12,"",_xlfn.XLOOKUP(ROW(Q12)-ROW(Q$8),報告用!$AL$4:$AL$37,報告用!$E$4:$E$37,"",FALSE))</f>
        <v/>
      </c>
    </row>
    <row r="13" spans="1:17" ht="27" customHeight="1" thickTop="1">
      <c r="A13" s="259" t="s">
        <v>37</v>
      </c>
      <c r="B13" s="92">
        <f>_xlfn.XLOOKUP(ROW(B13)-ROW(B$12),報告用!$AD$4:$AD$37,報告用!F$4:F$37,"",FALSE)</f>
        <v>16</v>
      </c>
      <c r="C13" s="93" t="str">
        <f>_xlfn.XLOOKUP(ROW(C13)-ROW(C$12),報告用!$AD$4:$AD$37,報告用!G$4:G$37,"",FALSE)</f>
        <v>牛山　はつ子</v>
      </c>
      <c r="D13" s="94" t="str">
        <f t="shared" ref="D13:D20" si="3">IF(C13="","","様")</f>
        <v>様</v>
      </c>
      <c r="E13" s="95" t="str">
        <f>IF(_xlfn.XLOOKUP(ROW(E13)-ROW(E$12),報告用!$AD$4:$AD$37,報告用!E$4:E$37,"",FALSE)=B13,"",_xlfn.XLOOKUP(ROW(E13)-ROW(E$12),報告用!$AD$4:$AD$37,報告用!E$4:E$37,"",FALSE))</f>
        <v/>
      </c>
      <c r="G13" s="249"/>
      <c r="H13" s="84">
        <f>_xlfn.XLOOKUP(ROW(H13)-ROW(H$8),報告用!$AK$4:$AK$37,報告用!$F$4:$F$37,"",FALSE)</f>
        <v>16</v>
      </c>
      <c r="I13" s="85" t="str">
        <f>_xlfn.XLOOKUP(ROW(I13)-ROW(I$8),報告用!$AK$4:$AK$37,報告用!$G$4:$G$37,"",FALSE)</f>
        <v>西山　望</v>
      </c>
      <c r="J13" s="86" t="str">
        <f t="shared" si="0"/>
        <v>様</v>
      </c>
      <c r="K13" s="87" t="str">
        <f>IF(_xlfn.XLOOKUP(ROW(K13)-ROW(K$8),報告用!$AK$4:$AK$37,報告用!$E$4:$E$37,"",FALSE)=H13,"",_xlfn.XLOOKUP(ROW(K13)-ROW(K$8),報告用!$AK$4:$AK$37,報告用!$E$4:$E$37,"",FALSE))</f>
        <v/>
      </c>
      <c r="L13" s="77"/>
      <c r="M13" s="249"/>
      <c r="N13" s="84">
        <f>_xlfn.XLOOKUP(ROW(N13)-ROW(N$8),報告用!$AL$4:$AL$37,報告用!$F$4:$F$37,"",FALSE)</f>
        <v>17</v>
      </c>
      <c r="O13" s="85" t="str">
        <f>_xlfn.XLOOKUP(ROW(O13)-ROW(O$8),報告用!$AL$4:$AL$37,報告用!$G$4:$G$37,"",FALSE)</f>
        <v>斎藤　潤一</v>
      </c>
      <c r="P13" s="86" t="str">
        <f t="shared" si="1"/>
        <v>様</v>
      </c>
      <c r="Q13" s="87" t="str">
        <f>IF(_xlfn.XLOOKUP(ROW(Q13)-ROW(Q$8),報告用!$AL$4:$AL$37,報告用!$E$4:$E$37,"",FALSE)=N13,"",_xlfn.XLOOKUP(ROW(Q13)-ROW(Q$8),報告用!$AL$4:$AL$37,報告用!$E$4:$E$37,"",FALSE))</f>
        <v/>
      </c>
    </row>
    <row r="14" spans="1:17" ht="27" customHeight="1">
      <c r="A14" s="249"/>
      <c r="B14" s="84">
        <f>_xlfn.XLOOKUP(ROW(B14)-ROW(B$12),報告用!$AD$4:$AD$37,報告用!F$4:F$37,"",FALSE)</f>
        <v>16</v>
      </c>
      <c r="C14" s="85" t="str">
        <f>_xlfn.XLOOKUP(ROW(C14)-ROW(C$12),報告用!$AD$4:$AD$37,報告用!G$4:G$37,"",FALSE)</f>
        <v>森　たい子</v>
      </c>
      <c r="D14" s="86" t="str">
        <f t="shared" si="3"/>
        <v>様</v>
      </c>
      <c r="E14" s="87" t="str">
        <f>IF(_xlfn.XLOOKUP(ROW(E14)-ROW(E$12),報告用!$AD$4:$AD$37,報告用!E$4:E$37,"",FALSE)=B14,"",_xlfn.XLOOKUP(ROW(E14)-ROW(E$12),報告用!$AD$4:$AD$37,報告用!E$4:E$37,"",FALSE))</f>
        <v/>
      </c>
      <c r="G14" s="249"/>
      <c r="H14" s="84">
        <f>_xlfn.XLOOKUP(ROW(H14)-ROW(H$8),報告用!$AK$4:$AK$37,報告用!$F$4:$F$37,"",FALSE)</f>
        <v>17</v>
      </c>
      <c r="I14" s="85" t="str">
        <f>_xlfn.XLOOKUP(ROW(I14)-ROW(I$8),報告用!$AK$4:$AK$37,報告用!$G$4:$G$37,"",FALSE)</f>
        <v>斎藤　潤一</v>
      </c>
      <c r="J14" s="86" t="str">
        <f t="shared" si="0"/>
        <v>様</v>
      </c>
      <c r="K14" s="87" t="str">
        <f>IF(_xlfn.XLOOKUP(ROW(K14)-ROW(K$8),報告用!$AK$4:$AK$37,報告用!$E$4:$E$37,"",FALSE)=H14,"",_xlfn.XLOOKUP(ROW(K14)-ROW(K$8),報告用!$AK$4:$AK$37,報告用!$E$4:$E$37,"",FALSE))</f>
        <v/>
      </c>
      <c r="L14" s="77"/>
      <c r="M14" s="249"/>
      <c r="N14" s="84">
        <f>_xlfn.XLOOKUP(ROW(N14)-ROW(N$8),報告用!$AL$4:$AL$37,報告用!$F$4:$F$37,"",FALSE)</f>
        <v>18</v>
      </c>
      <c r="O14" s="85" t="str">
        <f>_xlfn.XLOOKUP(ROW(O14)-ROW(O$8),報告用!$AL$4:$AL$37,報告用!$G$4:$G$37,"",FALSE)</f>
        <v>中澤　和江</v>
      </c>
      <c r="P14" s="86" t="str">
        <f t="shared" si="1"/>
        <v>様</v>
      </c>
      <c r="Q14" s="87">
        <f>IF(_xlfn.XLOOKUP(ROW(Q14)-ROW(Q$8),報告用!$AL$4:$AL$37,報告用!$E$4:$E$37,"",FALSE)=N14,"",_xlfn.XLOOKUP(ROW(Q14)-ROW(Q$8),報告用!$AL$4:$AL$37,報告用!$E$4:$E$37,"",FALSE))</f>
        <v>17</v>
      </c>
    </row>
    <row r="15" spans="1:17" ht="27" customHeight="1">
      <c r="A15" s="249"/>
      <c r="B15" s="84">
        <f>_xlfn.XLOOKUP(ROW(B15)-ROW(B$12),報告用!$AD$4:$AD$37,報告用!F$4:F$37,"",FALSE)</f>
        <v>17</v>
      </c>
      <c r="C15" s="85" t="str">
        <f>_xlfn.XLOOKUP(ROW(C15)-ROW(C$12),報告用!$AD$4:$AD$37,報告用!G$4:G$37,"",FALSE)</f>
        <v>小澤　俊治</v>
      </c>
      <c r="D15" s="86" t="str">
        <f t="shared" si="3"/>
        <v>様</v>
      </c>
      <c r="E15" s="87" t="str">
        <f>IF(_xlfn.XLOOKUP(ROW(E15)-ROW(E$12),報告用!$AD$4:$AD$37,報告用!E$4:E$37,"",FALSE)=B15,"",_xlfn.XLOOKUP(ROW(E15)-ROW(E$12),報告用!$AD$4:$AD$37,報告用!E$4:E$37,"",FALSE))</f>
        <v/>
      </c>
      <c r="G15" s="249"/>
      <c r="H15" s="84">
        <f>_xlfn.XLOOKUP(ROW(H15)-ROW(H$8),報告用!$AK$4:$AK$37,報告用!$F$4:$F$37,"",FALSE)</f>
        <v>18</v>
      </c>
      <c r="I15" s="85" t="str">
        <f>_xlfn.XLOOKUP(ROW(I15)-ROW(I$8),報告用!$AK$4:$AK$37,報告用!$G$4:$G$37,"",FALSE)</f>
        <v>中澤　和江</v>
      </c>
      <c r="J15" s="86" t="str">
        <f t="shared" si="0"/>
        <v>様</v>
      </c>
      <c r="K15" s="87">
        <f>IF(_xlfn.XLOOKUP(ROW(K15)-ROW(K$8),報告用!$AK$4:$AK$37,報告用!$E$4:$E$37,"",FALSE)=H15,"",_xlfn.XLOOKUP(ROW(K15)-ROW(K$8),報告用!$AK$4:$AK$37,報告用!$E$4:$E$37,"",FALSE))</f>
        <v>17</v>
      </c>
      <c r="L15" s="77"/>
      <c r="M15" s="249"/>
      <c r="N15" s="84">
        <f>_xlfn.XLOOKUP(ROW(N15)-ROW(N$8),報告用!$AL$4:$AL$37,報告用!$F$4:$F$37,"",FALSE)</f>
        <v>18</v>
      </c>
      <c r="O15" s="85" t="str">
        <f>_xlfn.XLOOKUP(ROW(O15)-ROW(O$8),報告用!$AL$4:$AL$37,報告用!$G$4:$G$37,"",FALSE)</f>
        <v>山本　たみ子</v>
      </c>
      <c r="P15" s="86" t="str">
        <f t="shared" si="1"/>
        <v>様</v>
      </c>
      <c r="Q15" s="87" t="str">
        <f>IF(_xlfn.XLOOKUP(ROW(Q15)-ROW(Q$8),報告用!$AL$4:$AL$37,報告用!$E$4:$E$37,"",FALSE)=N15,"",_xlfn.XLOOKUP(ROW(Q15)-ROW(Q$8),報告用!$AL$4:$AL$37,報告用!$E$4:$E$37,"",FALSE))</f>
        <v/>
      </c>
    </row>
    <row r="16" spans="1:17" ht="27" customHeight="1">
      <c r="A16" s="249"/>
      <c r="B16" s="84">
        <f>_xlfn.XLOOKUP(ROW(B16)-ROW(B$12),報告用!$AD$4:$AD$37,報告用!F$4:F$37,"",FALSE)</f>
        <v>21</v>
      </c>
      <c r="C16" s="85" t="str">
        <f>_xlfn.XLOOKUP(ROW(C16)-ROW(C$12),報告用!$AD$4:$AD$37,報告用!G$4:G$37,"",FALSE)</f>
        <v>土田　茂</v>
      </c>
      <c r="D16" s="86" t="str">
        <f t="shared" si="3"/>
        <v>様</v>
      </c>
      <c r="E16" s="87" t="str">
        <f>IF(_xlfn.XLOOKUP(ROW(E16)-ROW(E$12),報告用!$AD$4:$AD$37,報告用!E$4:E$37,"",FALSE)=B16,"",_xlfn.XLOOKUP(ROW(E16)-ROW(E$12),報告用!$AD$4:$AD$37,報告用!E$4:E$37,"",FALSE))</f>
        <v/>
      </c>
      <c r="G16" s="249"/>
      <c r="H16" s="84">
        <f>_xlfn.XLOOKUP(ROW(H16)-ROW(H$8),報告用!$AK$4:$AK$37,報告用!$F$4:$F$37,"",FALSE)</f>
        <v>18</v>
      </c>
      <c r="I16" s="85" t="str">
        <f>_xlfn.XLOOKUP(ROW(I16)-ROW(I$8),報告用!$AK$4:$AK$37,報告用!$G$4:$G$37,"",FALSE)</f>
        <v>深味　照子</v>
      </c>
      <c r="J16" s="86" t="str">
        <f t="shared" si="0"/>
        <v>様</v>
      </c>
      <c r="K16" s="87" t="str">
        <f>IF(_xlfn.XLOOKUP(ROW(K16)-ROW(K$8),報告用!$AK$4:$AK$37,報告用!$E$4:$E$37,"",FALSE)=H16,"",_xlfn.XLOOKUP(ROW(K16)-ROW(K$8),報告用!$AK$4:$AK$37,報告用!$E$4:$E$37,"",FALSE))</f>
        <v/>
      </c>
      <c r="L16" s="77"/>
      <c r="M16" s="249"/>
      <c r="N16" s="84">
        <f>_xlfn.XLOOKUP(ROW(N16)-ROW(N$8),報告用!$AL$4:$AL$37,報告用!$F$4:$F$37,"",FALSE)</f>
        <v>20</v>
      </c>
      <c r="O16" s="85" t="str">
        <f>_xlfn.XLOOKUP(ROW(O16)-ROW(O$8),報告用!$AL$4:$AL$37,報告用!$G$4:$G$37,"",FALSE)</f>
        <v>小口　千穂</v>
      </c>
      <c r="P16" s="86" t="str">
        <f t="shared" si="1"/>
        <v>様</v>
      </c>
      <c r="Q16" s="87" t="str">
        <f>IF(_xlfn.XLOOKUP(ROW(Q16)-ROW(Q$8),報告用!$AL$4:$AL$37,報告用!$E$4:$E$37,"",FALSE)=N16,"",_xlfn.XLOOKUP(ROW(Q16)-ROW(Q$8),報告用!$AL$4:$AL$37,報告用!$E$4:$E$37,"",FALSE))</f>
        <v/>
      </c>
    </row>
    <row r="17" spans="1:17" ht="27" customHeight="1">
      <c r="A17" s="249"/>
      <c r="B17" s="84" t="str">
        <f>_xlfn.XLOOKUP(ROW(B17)-ROW(B$12),報告用!$AD$4:$AD$37,報告用!F$4:F$37,"",FALSE)</f>
        <v/>
      </c>
      <c r="C17" s="85" t="str">
        <f>_xlfn.XLOOKUP(ROW(C17)-ROW(C$12),報告用!$AD$4:$AD$37,報告用!G$4:G$37,"",FALSE)</f>
        <v/>
      </c>
      <c r="D17" s="86" t="str">
        <f t="shared" si="3"/>
        <v/>
      </c>
      <c r="E17" s="87" t="str">
        <f>IF(_xlfn.XLOOKUP(ROW(E17)-ROW(E$12),報告用!$AD$4:$AD$37,報告用!E$4:E$37,"",FALSE)=B17,"",_xlfn.XLOOKUP(ROW(E17)-ROW(E$12),報告用!$AD$4:$AD$37,報告用!E$4:E$37,"",FALSE))</f>
        <v/>
      </c>
      <c r="G17" s="249"/>
      <c r="H17" s="84">
        <f>_xlfn.XLOOKUP(ROW(H17)-ROW(H$8),報告用!$AK$4:$AK$37,報告用!$F$4:$F$37,"",FALSE)</f>
        <v>18</v>
      </c>
      <c r="I17" s="85" t="str">
        <f>_xlfn.XLOOKUP(ROW(I17)-ROW(I$8),報告用!$AK$4:$AK$37,報告用!$G$4:$G$37,"",FALSE)</f>
        <v>山本　たみ子</v>
      </c>
      <c r="J17" s="86" t="str">
        <f t="shared" si="0"/>
        <v>様</v>
      </c>
      <c r="K17" s="87" t="str">
        <f>IF(_xlfn.XLOOKUP(ROW(K17)-ROW(K$8),報告用!$AK$4:$AK$37,報告用!$E$4:$E$37,"",FALSE)=H17,"",_xlfn.XLOOKUP(ROW(K17)-ROW(K$8),報告用!$AK$4:$AK$37,報告用!$E$4:$E$37,"",FALSE))</f>
        <v/>
      </c>
      <c r="L17" s="77"/>
      <c r="M17" s="249"/>
      <c r="N17" s="84">
        <f>_xlfn.XLOOKUP(ROW(N17)-ROW(N$8),報告用!$AL$4:$AL$37,報告用!$F$4:$F$37,"",FALSE)</f>
        <v>20</v>
      </c>
      <c r="O17" s="85" t="str">
        <f>_xlfn.XLOOKUP(ROW(O17)-ROW(O$8),報告用!$AL$4:$AL$37,報告用!$G$4:$G$37,"",FALSE)</f>
        <v>堀内　竹子</v>
      </c>
      <c r="P17" s="86" t="str">
        <f t="shared" si="1"/>
        <v>様</v>
      </c>
      <c r="Q17" s="87" t="str">
        <f>IF(_xlfn.XLOOKUP(ROW(Q17)-ROW(Q$8),報告用!$AL$4:$AL$37,報告用!$E$4:$E$37,"",FALSE)=N17,"",_xlfn.XLOOKUP(ROW(Q17)-ROW(Q$8),報告用!$AL$4:$AL$37,報告用!$E$4:$E$37,"",FALSE))</f>
        <v/>
      </c>
    </row>
    <row r="18" spans="1:17" ht="27" customHeight="1">
      <c r="A18" s="249"/>
      <c r="B18" s="84" t="str">
        <f>_xlfn.XLOOKUP(ROW(B18)-ROW(B$12),報告用!$AD$4:$AD$37,報告用!F$4:F$37,"",FALSE)</f>
        <v/>
      </c>
      <c r="C18" s="85" t="str">
        <f>_xlfn.XLOOKUP(ROW(C18)-ROW(C$12),報告用!$AD$4:$AD$37,報告用!G$4:G$37,"",FALSE)</f>
        <v/>
      </c>
      <c r="D18" s="86" t="str">
        <f t="shared" si="3"/>
        <v/>
      </c>
      <c r="E18" s="87" t="str">
        <f>IF(_xlfn.XLOOKUP(ROW(E18)-ROW(E$12),報告用!$AD$4:$AD$37,報告用!E$4:E$37,"",FALSE)=B18,"",_xlfn.XLOOKUP(ROW(E18)-ROW(E$12),報告用!$AD$4:$AD$37,報告用!E$4:E$37,"",FALSE))</f>
        <v/>
      </c>
      <c r="G18" s="249"/>
      <c r="H18" s="84">
        <f>_xlfn.XLOOKUP(ROW(H18)-ROW(H$8),報告用!$AK$4:$AK$37,報告用!$F$4:$F$37,"",FALSE)</f>
        <v>20</v>
      </c>
      <c r="I18" s="85" t="str">
        <f>_xlfn.XLOOKUP(ROW(I18)-ROW(I$8),報告用!$AK$4:$AK$37,報告用!$G$4:$G$37,"",FALSE)</f>
        <v>小口　千穂</v>
      </c>
      <c r="J18" s="86" t="str">
        <f t="shared" si="0"/>
        <v>様</v>
      </c>
      <c r="K18" s="87" t="str">
        <f>IF(_xlfn.XLOOKUP(ROW(K18)-ROW(K$8),報告用!$AK$4:$AK$37,報告用!$E$4:$E$37,"",FALSE)=H18,"",_xlfn.XLOOKUP(ROW(K18)-ROW(K$8),報告用!$AK$4:$AK$37,報告用!$E$4:$E$37,"",FALSE))</f>
        <v/>
      </c>
      <c r="L18" s="77"/>
      <c r="M18" s="249"/>
      <c r="N18" s="84">
        <f>_xlfn.XLOOKUP(ROW(N18)-ROW(N$8),報告用!$AL$4:$AL$37,報告用!$F$4:$F$37,"",FALSE)</f>
        <v>21</v>
      </c>
      <c r="O18" s="85" t="str">
        <f>_xlfn.XLOOKUP(ROW(O18)-ROW(O$8),報告用!$AL$4:$AL$37,報告用!$G$4:$G$37,"",FALSE)</f>
        <v>小林　國光</v>
      </c>
      <c r="P18" s="86" t="str">
        <f t="shared" si="1"/>
        <v>様</v>
      </c>
      <c r="Q18" s="87">
        <f>IF(_xlfn.XLOOKUP(ROW(Q18)-ROW(Q$8),報告用!$AL$4:$AL$37,報告用!$E$4:$E$37,"",FALSE)=N18,"",_xlfn.XLOOKUP(ROW(Q18)-ROW(Q$8),報告用!$AL$4:$AL$37,報告用!$E$4:$E$37,"",FALSE))</f>
        <v>17</v>
      </c>
    </row>
    <row r="19" spans="1:17" ht="27" customHeight="1">
      <c r="A19" s="249"/>
      <c r="B19" s="84" t="str">
        <f>_xlfn.XLOOKUP(ROW(B19)-ROW(B$12),報告用!$AD$4:$AD$37,報告用!F$4:F$37,"",FALSE)</f>
        <v/>
      </c>
      <c r="C19" s="85" t="str">
        <f>_xlfn.XLOOKUP(ROW(C19)-ROW(C$12),報告用!$AD$4:$AD$37,報告用!G$4:G$37,"",FALSE)</f>
        <v/>
      </c>
      <c r="D19" s="86" t="str">
        <f t="shared" si="3"/>
        <v/>
      </c>
      <c r="E19" s="87" t="str">
        <f>IF(_xlfn.XLOOKUP(ROW(E19)-ROW(E$12),報告用!$AD$4:$AD$37,報告用!E$4:E$37,"",FALSE)=B19,"",_xlfn.XLOOKUP(ROW(E19)-ROW(E$12),報告用!$AD$4:$AD$37,報告用!E$4:E$37,"",FALSE))</f>
        <v/>
      </c>
      <c r="G19" s="249"/>
      <c r="H19" s="84">
        <f>_xlfn.XLOOKUP(ROW(H19)-ROW(H$8),報告用!$AK$4:$AK$37,報告用!$F$4:$F$37,"",FALSE)</f>
        <v>20</v>
      </c>
      <c r="I19" s="85" t="str">
        <f>_xlfn.XLOOKUP(ROW(I19)-ROW(I$8),報告用!$AK$4:$AK$37,報告用!$G$4:$G$37,"",FALSE)</f>
        <v>堀内　竹子</v>
      </c>
      <c r="J19" s="86" t="str">
        <f t="shared" si="0"/>
        <v>様</v>
      </c>
      <c r="K19" s="87" t="str">
        <f>IF(_xlfn.XLOOKUP(ROW(K19)-ROW(K$8),報告用!$AK$4:$AK$37,報告用!$E$4:$E$37,"",FALSE)=H19,"",_xlfn.XLOOKUP(ROW(K19)-ROW(K$8),報告用!$AK$4:$AK$37,報告用!$E$4:$E$37,"",FALSE))</f>
        <v/>
      </c>
      <c r="L19" s="77"/>
      <c r="M19" s="249"/>
      <c r="N19" s="84">
        <f>_xlfn.XLOOKUP(ROW(N19)-ROW(N$8),報告用!$AL$4:$AL$37,報告用!$F$4:$F$37,"",FALSE)</f>
        <v>21</v>
      </c>
      <c r="O19" s="85" t="str">
        <f>_xlfn.XLOOKUP(ROW(O19)-ROW(O$8),報告用!$AL$4:$AL$37,報告用!$G$4:$G$37,"",FALSE)</f>
        <v>土田　茂</v>
      </c>
      <c r="P19" s="86" t="str">
        <f t="shared" si="1"/>
        <v>様</v>
      </c>
      <c r="Q19" s="87" t="str">
        <f>IF(_xlfn.XLOOKUP(ROW(Q19)-ROW(Q$8),報告用!$AL$4:$AL$37,報告用!$E$4:$E$37,"",FALSE)=N19,"",_xlfn.XLOOKUP(ROW(Q19)-ROW(Q$8),報告用!$AL$4:$AL$37,報告用!$E$4:$E$37,"",FALSE))</f>
        <v/>
      </c>
    </row>
    <row r="20" spans="1:17" ht="27" customHeight="1" thickBot="1">
      <c r="A20" s="250"/>
      <c r="B20" s="96" t="str">
        <f>_xlfn.XLOOKUP(ROW(B20)-ROW(B$12),報告用!$AD$4:$AD$37,報告用!F$4:F$37,"",FALSE)</f>
        <v/>
      </c>
      <c r="C20" s="97" t="str">
        <f>_xlfn.XLOOKUP(ROW(C20)-ROW(C$12),報告用!$AD$4:$AD$37,報告用!G$4:G$37,"",FALSE)</f>
        <v/>
      </c>
      <c r="D20" s="98" t="str">
        <f t="shared" si="3"/>
        <v/>
      </c>
      <c r="E20" s="99" t="str">
        <f>IF(_xlfn.XLOOKUP(ROW(E20)-ROW(E$12),報告用!$AD$4:$AD$37,報告用!E$4:E$37,"",FALSE)=B20,"",_xlfn.XLOOKUP(ROW(E20)-ROW(E$12),報告用!$AD$4:$AD$37,報告用!E$4:E$37,"",FALSE))</f>
        <v/>
      </c>
      <c r="G20" s="250"/>
      <c r="H20" s="96">
        <f>_xlfn.XLOOKUP(ROW(H20)-ROW(H$8),報告用!$AK$4:$AK$37,報告用!$F$4:$F$37,"",FALSE)</f>
        <v>21</v>
      </c>
      <c r="I20" s="97" t="str">
        <f>_xlfn.XLOOKUP(ROW(I20)-ROW(I$8),報告用!$AK$4:$AK$37,報告用!$G$4:$G$37,"",FALSE)</f>
        <v>小林　國光</v>
      </c>
      <c r="J20" s="98" t="str">
        <f t="shared" si="0"/>
        <v>様</v>
      </c>
      <c r="K20" s="99">
        <f>IF(_xlfn.XLOOKUP(ROW(K20)-ROW(K$8),報告用!$AK$4:$AK$37,報告用!$E$4:$E$37,"",FALSE)=H20,"",_xlfn.XLOOKUP(ROW(K20)-ROW(K$8),報告用!$AK$4:$AK$37,報告用!$E$4:$E$37,"",FALSE))</f>
        <v>17</v>
      </c>
      <c r="L20" s="77"/>
      <c r="M20" s="250"/>
      <c r="N20" s="96">
        <f>_xlfn.XLOOKUP(ROW(N20)-ROW(N$8),報告用!$AL$4:$AL$37,報告用!$F$4:$F$37,"",FALSE)</f>
        <v>21</v>
      </c>
      <c r="O20" s="97" t="str">
        <f>_xlfn.XLOOKUP(ROW(O20)-ROW(O$8),報告用!$AL$4:$AL$37,報告用!$G$4:$G$37,"",FALSE)</f>
        <v>加納　鉄也</v>
      </c>
      <c r="P20" s="98" t="str">
        <f t="shared" si="1"/>
        <v>様</v>
      </c>
      <c r="Q20" s="99">
        <f>IF(_xlfn.XLOOKUP(ROW(Q20)-ROW(Q$8),報告用!$AL$4:$AL$37,報告用!$E$4:$E$37,"",FALSE)=N20,"",_xlfn.XLOOKUP(ROW(Q20)-ROW(Q$8),報告用!$AL$4:$AL$37,報告用!$E$4:$E$37,"",FALSE))</f>
        <v>16</v>
      </c>
    </row>
    <row r="21" spans="1:17" ht="27" customHeight="1">
      <c r="A21" s="75"/>
      <c r="B21" s="75"/>
      <c r="C21" s="75"/>
      <c r="D21" s="75"/>
      <c r="E21" s="75"/>
      <c r="F21" s="75"/>
      <c r="G21" s="233" t="s">
        <v>40</v>
      </c>
      <c r="H21" s="233"/>
      <c r="I21" s="233"/>
      <c r="J21" s="233"/>
      <c r="K21" s="233"/>
      <c r="L21" s="75"/>
      <c r="M21" s="75"/>
      <c r="N21" s="75"/>
      <c r="O21" s="75"/>
      <c r="P21" s="75"/>
      <c r="Q21" s="75"/>
    </row>
    <row r="22" spans="1:17" ht="27" customHeight="1" thickBot="1">
      <c r="A22" s="256"/>
      <c r="B22" s="256"/>
      <c r="C22" s="256"/>
      <c r="D22" s="256"/>
      <c r="E22" s="256"/>
      <c r="F22" s="75"/>
      <c r="G22" s="255"/>
      <c r="H22" s="255"/>
      <c r="I22" s="255"/>
      <c r="J22" s="255"/>
      <c r="K22" s="255"/>
      <c r="L22" s="75"/>
      <c r="M22" s="257">
        <f>報告用!$O$2</f>
        <v>46106</v>
      </c>
      <c r="N22" s="257"/>
      <c r="O22" s="257"/>
      <c r="P22" s="257"/>
      <c r="Q22" s="257"/>
    </row>
    <row r="23" spans="1:17" ht="27" customHeight="1">
      <c r="A23" s="258" t="s">
        <v>31</v>
      </c>
      <c r="B23" s="251" t="s">
        <v>38</v>
      </c>
      <c r="C23" s="251"/>
      <c r="D23" s="251"/>
      <c r="E23" s="252"/>
      <c r="G23" s="258" t="s">
        <v>31</v>
      </c>
      <c r="H23" s="251" t="s">
        <v>39</v>
      </c>
      <c r="I23" s="251"/>
      <c r="J23" s="251"/>
      <c r="K23" s="252"/>
      <c r="L23" s="77"/>
      <c r="M23" s="258" t="s">
        <v>31</v>
      </c>
      <c r="N23" s="251" t="s">
        <v>22</v>
      </c>
      <c r="O23" s="251"/>
      <c r="P23" s="251"/>
      <c r="Q23" s="252"/>
    </row>
    <row r="24" spans="1:17" ht="27" customHeight="1" thickBot="1">
      <c r="A24" s="247"/>
      <c r="B24" s="78" t="s">
        <v>18</v>
      </c>
      <c r="C24" s="253" t="s">
        <v>17</v>
      </c>
      <c r="D24" s="254"/>
      <c r="E24" s="79" t="s">
        <v>30</v>
      </c>
      <c r="G24" s="247"/>
      <c r="H24" s="78" t="s">
        <v>18</v>
      </c>
      <c r="I24" s="253" t="s">
        <v>17</v>
      </c>
      <c r="J24" s="254"/>
      <c r="K24" s="79" t="s">
        <v>30</v>
      </c>
      <c r="L24" s="77"/>
      <c r="M24" s="247"/>
      <c r="N24" s="78" t="s">
        <v>18</v>
      </c>
      <c r="O24" s="253" t="s">
        <v>17</v>
      </c>
      <c r="P24" s="254"/>
      <c r="Q24" s="79" t="s">
        <v>30</v>
      </c>
    </row>
    <row r="25" spans="1:17" ht="27" customHeight="1" thickTop="1">
      <c r="A25" s="245" t="s">
        <v>35</v>
      </c>
      <c r="B25" s="80">
        <f>_xlfn.XLOOKUP(ROW(B25)-ROW(B$24),報告用!$AH$4:$AH$37,報告用!$F$4:$F$37,"",FALSE)</f>
        <v>15</v>
      </c>
      <c r="C25" s="81" t="str">
        <f>_xlfn.XLOOKUP(ROW(C25)-ROW(C$24),報告用!$AH$4:$AH$37,報告用!$G$4:$G$37,"",FALSE)</f>
        <v>志村とも子</v>
      </c>
      <c r="D25" s="82" t="str">
        <f t="shared" ref="D25:D40" si="4">IF(C25="","","様")</f>
        <v>様</v>
      </c>
      <c r="E25" s="83" t="str">
        <f>IF(_xlfn.XLOOKUP(ROW(E25)-ROW(E$24),報告用!$AH$4:$AH$37,報告用!$E$4:$E$37,"",FALSE)=B25,"",_xlfn.XLOOKUP(ROW(E25)-ROW(E$24),報告用!$AH$4:$AH$37,報告用!$E$4:$E$37,"",FALSE))</f>
        <v/>
      </c>
      <c r="G25" s="245" t="s">
        <v>35</v>
      </c>
      <c r="H25" s="80">
        <f>_xlfn.XLOOKUP(ROW(H25)-ROW(H$24),報告用!$AI$4:$AI$37,報告用!$F$4:$F$37,"",FALSE)</f>
        <v>15</v>
      </c>
      <c r="I25" s="81" t="str">
        <f>_xlfn.XLOOKUP(ROW(I25)-ROW(I$24),報告用!$AI$4:$AI$37,報告用!$G$4:$G$37,"",FALSE)</f>
        <v>志村とも子</v>
      </c>
      <c r="J25" s="82" t="str">
        <f t="shared" ref="J25:J40" si="5">IF(I25="","","様")</f>
        <v>様</v>
      </c>
      <c r="K25" s="83" t="str">
        <f>IF(_xlfn.XLOOKUP(ROW(K25)-ROW(K$24),報告用!$AI$4:$AI$37,報告用!$E$4:$E$37,"",FALSE)=H25,"",_xlfn.XLOOKUP(ROW(K25)-ROW(K$24),報告用!$AI$4:$AI$37,報告用!$E$4:$E$37,"",FALSE))</f>
        <v/>
      </c>
      <c r="L25" s="77"/>
      <c r="M25" s="245" t="s">
        <v>35</v>
      </c>
      <c r="N25" s="80">
        <f>_xlfn.XLOOKUP(ROW(N25)-ROW(N$24),報告用!$AJ$4:$AJ$37,報告用!$F$4:$F$37,"",FALSE)</f>
        <v>15</v>
      </c>
      <c r="O25" s="81" t="str">
        <f>_xlfn.XLOOKUP(ROW(O25)-ROW(O$24),報告用!$AJ$4:$AJ$37,報告用!$G$4:$G$37,"",FALSE)</f>
        <v>志村とも子</v>
      </c>
      <c r="P25" s="82" t="str">
        <f t="shared" ref="P25:P40" si="6">IF(O25="","","様")</f>
        <v>様</v>
      </c>
      <c r="Q25" s="83" t="str">
        <f>IF(_xlfn.XLOOKUP(ROW(Q25)-ROW(Q$24),報告用!$AJ$4:$AJ$37,報告用!$E$4:$E$37,"",FALSE)=N25,"",_xlfn.XLOOKUP(ROW(Q25)-ROW(Q$24),報告用!$AJ$4:$AJ$37,報告用!$E$4:$E$37,"",FALSE))</f>
        <v/>
      </c>
    </row>
    <row r="26" spans="1:17" ht="27" customHeight="1">
      <c r="A26" s="246"/>
      <c r="B26" s="84">
        <f>_xlfn.XLOOKUP(ROW(B26)-ROW(B$24),報告用!$AH$4:$AH$37,報告用!$F$4:$F$37,"",FALSE)</f>
        <v>15</v>
      </c>
      <c r="C26" s="85" t="str">
        <f>_xlfn.XLOOKUP(ROW(C26)-ROW(C$24),報告用!$AH$4:$AH$37,報告用!$G$4:$G$37,"",FALSE)</f>
        <v>飯室　純江</v>
      </c>
      <c r="D26" s="86" t="str">
        <f t="shared" si="4"/>
        <v>様</v>
      </c>
      <c r="E26" s="87" t="str">
        <f>IF(_xlfn.XLOOKUP(ROW(E26)-ROW(E$24),報告用!$AH$4:$AH$37,報告用!$E$4:$E$37,"",FALSE)=B26,"",_xlfn.XLOOKUP(ROW(E26)-ROW(E$24),報告用!$AH$4:$AH$37,報告用!$E$4:$E$37,"",FALSE))</f>
        <v/>
      </c>
      <c r="G26" s="246"/>
      <c r="H26" s="84">
        <f>_xlfn.XLOOKUP(ROW(H26)-ROW(H$24),報告用!$AI$4:$AI$37,報告用!$F$4:$F$37,"",FALSE)</f>
        <v>15</v>
      </c>
      <c r="I26" s="85" t="str">
        <f>_xlfn.XLOOKUP(ROW(I26)-ROW(I$24),報告用!$AI$4:$AI$37,報告用!$G$4:$G$37,"",FALSE)</f>
        <v>望月　美希</v>
      </c>
      <c r="J26" s="86" t="str">
        <f t="shared" si="5"/>
        <v>様</v>
      </c>
      <c r="K26" s="87" t="str">
        <f>IF(_xlfn.XLOOKUP(ROW(K26)-ROW(K$24),報告用!$AI$4:$AI$37,報告用!$E$4:$E$37,"",FALSE)=H26,"",_xlfn.XLOOKUP(ROW(K26)-ROW(K$24),報告用!$AI$4:$AI$37,報告用!$E$4:$E$37,"",FALSE))</f>
        <v/>
      </c>
      <c r="L26" s="77"/>
      <c r="M26" s="246"/>
      <c r="N26" s="84">
        <f>_xlfn.XLOOKUP(ROW(N26)-ROW(N$24),報告用!$AJ$4:$AJ$37,報告用!$F$4:$F$37,"",FALSE)</f>
        <v>16</v>
      </c>
      <c r="O26" s="85" t="str">
        <f>_xlfn.XLOOKUP(ROW(O26)-ROW(O$24),報告用!$AJ$4:$AJ$37,報告用!$G$4:$G$37,"",FALSE)</f>
        <v>里吉　松子</v>
      </c>
      <c r="P26" s="86" t="str">
        <f t="shared" si="6"/>
        <v>様</v>
      </c>
      <c r="Q26" s="87" t="str">
        <f>IF(_xlfn.XLOOKUP(ROW(Q26)-ROW(Q$24),報告用!$AJ$4:$AJ$37,報告用!$E$4:$E$37,"",FALSE)=N26,"",_xlfn.XLOOKUP(ROW(Q26)-ROW(Q$24),報告用!$AJ$4:$AJ$37,報告用!$E$4:$E$37,"",FALSE))</f>
        <v/>
      </c>
    </row>
    <row r="27" spans="1:17" ht="27" customHeight="1">
      <c r="A27" s="246"/>
      <c r="B27" s="84">
        <f>_xlfn.XLOOKUP(ROW(B27)-ROW(B$24),報告用!$AH$4:$AH$37,報告用!$F$4:$F$37,"",FALSE)</f>
        <v>16</v>
      </c>
      <c r="C27" s="85" t="str">
        <f>_xlfn.XLOOKUP(ROW(C27)-ROW(C$24),報告用!$AH$4:$AH$37,報告用!$G$4:$G$37,"",FALSE)</f>
        <v>里吉　松子</v>
      </c>
      <c r="D27" s="86" t="str">
        <f t="shared" si="4"/>
        <v>様</v>
      </c>
      <c r="E27" s="87" t="str">
        <f>IF(_xlfn.XLOOKUP(ROW(E27)-ROW(E$24),報告用!$AH$4:$AH$37,報告用!$E$4:$E$37,"",FALSE)=B27,"",_xlfn.XLOOKUP(ROW(E27)-ROW(E$24),報告用!$AH$4:$AH$37,報告用!$E$4:$E$37,"",FALSE))</f>
        <v/>
      </c>
      <c r="G27" s="246"/>
      <c r="H27" s="84">
        <f>_xlfn.XLOOKUP(ROW(H27)-ROW(H$24),報告用!$AI$4:$AI$37,報告用!$F$4:$F$37,"",FALSE)</f>
        <v>16</v>
      </c>
      <c r="I27" s="85" t="str">
        <f>_xlfn.XLOOKUP(ROW(I27)-ROW(I$24),報告用!$AI$4:$AI$37,報告用!$G$4:$G$37,"",FALSE)</f>
        <v>里吉　松子</v>
      </c>
      <c r="J27" s="86" t="str">
        <f t="shared" si="5"/>
        <v>様</v>
      </c>
      <c r="K27" s="87" t="str">
        <f>IF(_xlfn.XLOOKUP(ROW(K27)-ROW(K$24),報告用!$AI$4:$AI$37,報告用!$E$4:$E$37,"",FALSE)=H27,"",_xlfn.XLOOKUP(ROW(K27)-ROW(K$24),報告用!$AI$4:$AI$37,報告用!$E$4:$E$37,"",FALSE))</f>
        <v/>
      </c>
      <c r="L27" s="77"/>
      <c r="M27" s="246"/>
      <c r="N27" s="84">
        <f>_xlfn.XLOOKUP(ROW(N27)-ROW(N$24),報告用!$AJ$4:$AJ$37,報告用!$F$4:$F$37,"",FALSE)</f>
        <v>16</v>
      </c>
      <c r="O27" s="85" t="str">
        <f>_xlfn.XLOOKUP(ROW(O27)-ROW(O$24),報告用!$AJ$4:$AJ$37,報告用!$G$4:$G$37,"",FALSE)</f>
        <v>森　たい子</v>
      </c>
      <c r="P27" s="86" t="str">
        <f t="shared" si="6"/>
        <v>様</v>
      </c>
      <c r="Q27" s="87" t="str">
        <f>IF(_xlfn.XLOOKUP(ROW(Q27)-ROW(Q$24),報告用!$AJ$4:$AJ$37,報告用!$E$4:$E$37,"",FALSE)=N27,"",_xlfn.XLOOKUP(ROW(Q27)-ROW(Q$24),報告用!$AJ$4:$AJ$37,報告用!$E$4:$E$37,"",FALSE))</f>
        <v/>
      </c>
    </row>
    <row r="28" spans="1:17" ht="27" customHeight="1" thickBot="1">
      <c r="A28" s="247"/>
      <c r="B28" s="88">
        <f>_xlfn.XLOOKUP(ROW(B28)-ROW(B$24),報告用!$AH$4:$AH$37,報告用!$F$4:$F$37,"",FALSE)</f>
        <v>16</v>
      </c>
      <c r="C28" s="89" t="str">
        <f>_xlfn.XLOOKUP(ROW(C28)-ROW(C$24),報告用!$AH$4:$AH$37,報告用!$G$4:$G$37,"",FALSE)</f>
        <v>森　たい子</v>
      </c>
      <c r="D28" s="90" t="str">
        <f t="shared" si="4"/>
        <v>様</v>
      </c>
      <c r="E28" s="91" t="str">
        <f>IF(_xlfn.XLOOKUP(ROW(E28)-ROW(E$24),報告用!$AH$4:$AH$37,報告用!$E$4:$E$37,"",FALSE)=B28,"",_xlfn.XLOOKUP(ROW(E28)-ROW(E$24),報告用!$AH$4:$AH$37,報告用!$E$4:$E$37,"",FALSE))</f>
        <v/>
      </c>
      <c r="G28" s="247"/>
      <c r="H28" s="88">
        <f>_xlfn.XLOOKUP(ROW(H28)-ROW(H$24),報告用!$AI$4:$AI$37,報告用!$F$4:$F$37,"",FALSE)</f>
        <v>16</v>
      </c>
      <c r="I28" s="89" t="str">
        <f>_xlfn.XLOOKUP(ROW(I28)-ROW(I$24),報告用!$AI$4:$AI$37,報告用!$G$4:$G$37,"",FALSE)</f>
        <v>森　たい子</v>
      </c>
      <c r="J28" s="90" t="str">
        <f t="shared" si="5"/>
        <v>様</v>
      </c>
      <c r="K28" s="91" t="str">
        <f>IF(_xlfn.XLOOKUP(ROW(K28)-ROW(K$24),報告用!$AI$4:$AI$37,報告用!$E$4:$E$37,"",FALSE)=H28,"",_xlfn.XLOOKUP(ROW(K28)-ROW(K$24),報告用!$AI$4:$AI$37,報告用!$E$4:$E$37,"",FALSE))</f>
        <v/>
      </c>
      <c r="L28" s="77"/>
      <c r="M28" s="247"/>
      <c r="N28" s="88">
        <f>_xlfn.XLOOKUP(ROW(N28)-ROW(N$24),報告用!$AJ$4:$AJ$37,報告用!$F$4:$F$37,"",FALSE)</f>
        <v>17</v>
      </c>
      <c r="O28" s="89" t="str">
        <f>_xlfn.XLOOKUP(ROW(O28)-ROW(O$24),報告用!$AJ$4:$AJ$37,報告用!$G$4:$G$37,"",FALSE)</f>
        <v>河野　秀夫</v>
      </c>
      <c r="P28" s="90" t="str">
        <f t="shared" si="6"/>
        <v>様</v>
      </c>
      <c r="Q28" s="91" t="str">
        <f>IF(_xlfn.XLOOKUP(ROW(Q28)-ROW(Q$24),報告用!$AJ$4:$AJ$37,報告用!$E$4:$E$37,"",FALSE)=N28,"",_xlfn.XLOOKUP(ROW(Q28)-ROW(Q$24),報告用!$AJ$4:$AJ$37,報告用!$E$4:$E$37,"",FALSE))</f>
        <v/>
      </c>
    </row>
    <row r="29" spans="1:17" ht="27" customHeight="1" thickTop="1">
      <c r="A29" s="248" t="s">
        <v>25</v>
      </c>
      <c r="B29" s="92">
        <f>_xlfn.XLOOKUP(ROW(B29)-ROW(B$28),報告用!$AM$4:$AM$37,報告用!$F$4:$F$37,"",FALSE)</f>
        <v>15</v>
      </c>
      <c r="C29" s="93" t="str">
        <f>_xlfn.XLOOKUP(ROW(C29)-ROW(C$28),報告用!$AM$4:$AM$37,報告用!$G$4:$G$37,"",FALSE)</f>
        <v>志村とも子</v>
      </c>
      <c r="D29" s="94" t="str">
        <f t="shared" si="4"/>
        <v>様</v>
      </c>
      <c r="E29" s="95" t="str">
        <f>IF(_xlfn.XLOOKUP(ROW(E29)-ROW(E$28),報告用!$AM$4:$AM$37,報告用!$E$4:$E$37,"",FALSE)=B29,"",_xlfn.XLOOKUP(ROW(E29)-ROW(E$28),報告用!$AM$4:$AM$37,報告用!$E$4:$E$37,"",FALSE))</f>
        <v/>
      </c>
      <c r="G29" s="249" t="s">
        <v>25</v>
      </c>
      <c r="H29" s="92">
        <f>_xlfn.XLOOKUP(ROW(H29)-ROW(H$28),報告用!$AN$4:$AN$37,報告用!$F$4:$F$37,"",FALSE)</f>
        <v>15</v>
      </c>
      <c r="I29" s="93" t="str">
        <f>_xlfn.XLOOKUP(ROW(I29)-ROW(I$28),報告用!$AN$4:$AN$37,報告用!$G$4:$G$37,"",FALSE)</f>
        <v>志村とも子</v>
      </c>
      <c r="J29" s="94" t="str">
        <f t="shared" si="5"/>
        <v>様</v>
      </c>
      <c r="K29" s="95" t="str">
        <f>IF(_xlfn.XLOOKUP(ROW(K29)-ROW(K$28),報告用!$AN$4:$AN$37,報告用!$E$4:$E$37,"",FALSE)=H29,"",_xlfn.XLOOKUP(ROW(K29)-ROW(K$28),報告用!$AN$4:$AN$37,報告用!$E$4:$E$37,"",FALSE))</f>
        <v/>
      </c>
      <c r="L29" s="77"/>
      <c r="M29" s="249" t="s">
        <v>25</v>
      </c>
      <c r="N29" s="92">
        <f>_xlfn.XLOOKUP(ROW(N29)-ROW(N$28),報告用!$AO$4:$AO$37,報告用!$F$4:$F$37,"",FALSE)</f>
        <v>15</v>
      </c>
      <c r="O29" s="93" t="str">
        <f>_xlfn.XLOOKUP(ROW(O29)-ROW(O$28),報告用!$AO$4:$AO$37,報告用!$G$4:$G$37,"",FALSE)</f>
        <v>志村とも子</v>
      </c>
      <c r="P29" s="94" t="str">
        <f t="shared" si="6"/>
        <v>様</v>
      </c>
      <c r="Q29" s="95" t="str">
        <f>IF(_xlfn.XLOOKUP(ROW(Q29)-ROW(Q$28),報告用!$AO$4:$AO$37,報告用!$E$4:$E$37,"",FALSE)=N29,"",_xlfn.XLOOKUP(ROW(Q29)-ROW(Q$28),報告用!$AO$4:$AO$37,報告用!$E$4:$E$37,"",FALSE))</f>
        <v/>
      </c>
    </row>
    <row r="30" spans="1:17" ht="27" customHeight="1">
      <c r="A30" s="249"/>
      <c r="B30" s="84">
        <f>_xlfn.XLOOKUP(ROW(B30)-ROW(B$28),報告用!$AM$4:$AM$37,報告用!$F$4:$F$37,"",FALSE)</f>
        <v>15</v>
      </c>
      <c r="C30" s="85" t="str">
        <f>_xlfn.XLOOKUP(ROW(C30)-ROW(C$28),報告用!$AM$4:$AM$37,報告用!$G$4:$G$37,"",FALSE)</f>
        <v>佐藤　亜美</v>
      </c>
      <c r="D30" s="86" t="str">
        <f t="shared" si="4"/>
        <v>様</v>
      </c>
      <c r="E30" s="87" t="str">
        <f>IF(_xlfn.XLOOKUP(ROW(E30)-ROW(E$28),報告用!$AM$4:$AM$37,報告用!$E$4:$E$37,"",FALSE)=B30,"",_xlfn.XLOOKUP(ROW(E30)-ROW(E$28),報告用!$AM$4:$AM$37,報告用!$E$4:$E$37,"",FALSE))</f>
        <v/>
      </c>
      <c r="G30" s="249"/>
      <c r="H30" s="84">
        <f>_xlfn.XLOOKUP(ROW(H30)-ROW(H$28),報告用!$AN$4:$AN$37,報告用!$F$4:$F$37,"",FALSE)</f>
        <v>15</v>
      </c>
      <c r="I30" s="85" t="str">
        <f>_xlfn.XLOOKUP(ROW(I30)-ROW(I$28),報告用!$AN$4:$AN$37,報告用!$G$4:$G$37,"",FALSE)</f>
        <v>佐藤　亜美</v>
      </c>
      <c r="J30" s="86" t="str">
        <f t="shared" si="5"/>
        <v>様</v>
      </c>
      <c r="K30" s="87" t="str">
        <f>IF(_xlfn.XLOOKUP(ROW(K30)-ROW(K$28),報告用!$AN$4:$AN$37,報告用!$E$4:$E$37,"",FALSE)=H30,"",_xlfn.XLOOKUP(ROW(K30)-ROW(K$28),報告用!$AN$4:$AN$37,報告用!$E$4:$E$37,"",FALSE))</f>
        <v/>
      </c>
      <c r="L30" s="77"/>
      <c r="M30" s="249"/>
      <c r="N30" s="84">
        <f>_xlfn.XLOOKUP(ROW(N30)-ROW(N$28),報告用!$AO$4:$AO$37,報告用!$F$4:$F$37,"",FALSE)</f>
        <v>15</v>
      </c>
      <c r="O30" s="85" t="str">
        <f>_xlfn.XLOOKUP(ROW(O30)-ROW(O$28),報告用!$AO$4:$AO$37,報告用!$G$4:$G$37,"",FALSE)</f>
        <v>佐藤　亜美</v>
      </c>
      <c r="P30" s="86" t="str">
        <f t="shared" si="6"/>
        <v>様</v>
      </c>
      <c r="Q30" s="87" t="str">
        <f>IF(_xlfn.XLOOKUP(ROW(Q30)-ROW(Q$28),報告用!$AO$4:$AO$37,報告用!$E$4:$E$37,"",FALSE)=N30,"",_xlfn.XLOOKUP(ROW(Q30)-ROW(Q$28),報告用!$AO$4:$AO$37,報告用!$E$4:$E$37,"",FALSE))</f>
        <v/>
      </c>
    </row>
    <row r="31" spans="1:17" ht="27" customHeight="1">
      <c r="A31" s="249"/>
      <c r="B31" s="84" t="str">
        <f>_xlfn.XLOOKUP(ROW(B31)-ROW(B$28),報告用!$AM$4:$AM$37,報告用!$F$4:$F$37,"",FALSE)</f>
        <v/>
      </c>
      <c r="C31" s="85" t="str">
        <f>_xlfn.XLOOKUP(ROW(C31)-ROW(C$28),報告用!$AM$4:$AM$37,報告用!$G$4:$G$37,"",FALSE)</f>
        <v/>
      </c>
      <c r="D31" s="86" t="str">
        <f t="shared" si="4"/>
        <v/>
      </c>
      <c r="E31" s="87" t="str">
        <f>IF(_xlfn.XLOOKUP(ROW(E31)-ROW(E$28),報告用!$AM$4:$AM$37,報告用!$E$4:$E$37,"",FALSE)=B31,"",_xlfn.XLOOKUP(ROW(E31)-ROW(E$28),報告用!$AM$4:$AM$37,報告用!$E$4:$E$37,"",FALSE))</f>
        <v/>
      </c>
      <c r="G31" s="249"/>
      <c r="H31" s="84">
        <f>_xlfn.XLOOKUP(ROW(H31)-ROW(H$28),報告用!$AN$4:$AN$37,報告用!$F$4:$F$37,"",FALSE)</f>
        <v>16</v>
      </c>
      <c r="I31" s="85" t="str">
        <f>_xlfn.XLOOKUP(ROW(I31)-ROW(I$28),報告用!$AN$4:$AN$37,報告用!$G$4:$G$37,"",FALSE)</f>
        <v>牛山　はつ子</v>
      </c>
      <c r="J31" s="86" t="str">
        <f t="shared" si="5"/>
        <v>様</v>
      </c>
      <c r="K31" s="87" t="str">
        <f>IF(_xlfn.XLOOKUP(ROW(K31)-ROW(K$28),報告用!$AN$4:$AN$37,報告用!$E$4:$E$37,"",FALSE)=H31,"",_xlfn.XLOOKUP(ROW(K31)-ROW(K$28),報告用!$AN$4:$AN$37,報告用!$E$4:$E$37,"",FALSE))</f>
        <v/>
      </c>
      <c r="L31" s="77"/>
      <c r="M31" s="249"/>
      <c r="N31" s="84" t="str">
        <f>_xlfn.XLOOKUP(ROW(N31)-ROW(N$28),報告用!$AO$4:$AO$37,報告用!$F$4:$F$37,"",FALSE)</f>
        <v/>
      </c>
      <c r="O31" s="85" t="str">
        <f>_xlfn.XLOOKUP(ROW(O31)-ROW(O$28),報告用!$AO$4:$AO$37,報告用!$G$4:$G$37,"",FALSE)</f>
        <v/>
      </c>
      <c r="P31" s="86" t="str">
        <f t="shared" si="6"/>
        <v/>
      </c>
      <c r="Q31" s="87" t="str">
        <f>IF(_xlfn.XLOOKUP(ROW(Q31)-ROW(Q$28),報告用!$AO$4:$AO$37,報告用!$E$4:$E$37,"",FALSE)=N31,"",_xlfn.XLOOKUP(ROW(Q31)-ROW(Q$28),報告用!$AO$4:$AO$37,報告用!$E$4:$E$37,"",FALSE))</f>
        <v/>
      </c>
    </row>
    <row r="32" spans="1:17" ht="27" customHeight="1">
      <c r="A32" s="249"/>
      <c r="B32" s="84">
        <f>_xlfn.XLOOKUP(ROW(B32)-ROW(B$28),報告用!$AM$4:$AM$37,報告用!$F$4:$F$37,"",FALSE)</f>
        <v>16</v>
      </c>
      <c r="C32" s="85" t="str">
        <f>_xlfn.XLOOKUP(ROW(C32)-ROW(C$28),報告用!$AM$4:$AM$37,報告用!$G$4:$G$37,"",FALSE)</f>
        <v>牛山　はつ子</v>
      </c>
      <c r="D32" s="86" t="str">
        <f t="shared" si="4"/>
        <v>様</v>
      </c>
      <c r="E32" s="87" t="str">
        <f>IF(_xlfn.XLOOKUP(ROW(E32)-ROW(E$28),報告用!$AM$4:$AM$37,報告用!$E$4:$E$37,"",FALSE)=B32,"",_xlfn.XLOOKUP(ROW(E32)-ROW(E$28),報告用!$AM$4:$AM$37,報告用!$E$4:$E$37,"",FALSE))</f>
        <v/>
      </c>
      <c r="G32" s="249"/>
      <c r="H32" s="84">
        <f>_xlfn.XLOOKUP(ROW(H32)-ROW(H$28),報告用!$AN$4:$AN$37,報告用!$F$4:$F$37,"",FALSE)</f>
        <v>16</v>
      </c>
      <c r="I32" s="85" t="str">
        <f>_xlfn.XLOOKUP(ROW(I32)-ROW(I$28),報告用!$AN$4:$AN$37,報告用!$G$4:$G$37,"",FALSE)</f>
        <v>西山　望</v>
      </c>
      <c r="J32" s="86" t="str">
        <f t="shared" si="5"/>
        <v>様</v>
      </c>
      <c r="K32" s="87" t="str">
        <f>IF(_xlfn.XLOOKUP(ROW(K32)-ROW(K$28),報告用!$AN$4:$AN$37,報告用!$E$4:$E$37,"",FALSE)=H32,"",_xlfn.XLOOKUP(ROW(K32)-ROW(K$28),報告用!$AN$4:$AN$37,報告用!$E$4:$E$37,"",FALSE))</f>
        <v/>
      </c>
      <c r="L32" s="77"/>
      <c r="M32" s="249"/>
      <c r="N32" s="84">
        <f>_xlfn.XLOOKUP(ROW(N32)-ROW(N$28),報告用!$AO$4:$AO$37,報告用!$F$4:$F$37,"",FALSE)</f>
        <v>16</v>
      </c>
      <c r="O32" s="85" t="str">
        <f>_xlfn.XLOOKUP(ROW(O32)-ROW(O$28),報告用!$AO$4:$AO$37,報告用!$G$4:$G$37,"",FALSE)</f>
        <v>牛山　はつ子</v>
      </c>
      <c r="P32" s="86" t="str">
        <f t="shared" si="6"/>
        <v>様</v>
      </c>
      <c r="Q32" s="87" t="str">
        <f>IF(_xlfn.XLOOKUP(ROW(Q32)-ROW(Q$28),報告用!$AO$4:$AO$37,報告用!$E$4:$E$37,"",FALSE)=N32,"",_xlfn.XLOOKUP(ROW(Q32)-ROW(Q$28),報告用!$AO$4:$AO$37,報告用!$E$4:$E$37,"",FALSE))</f>
        <v/>
      </c>
    </row>
    <row r="33" spans="1:17" ht="27" customHeight="1">
      <c r="A33" s="249"/>
      <c r="B33" s="92">
        <f>_xlfn.XLOOKUP(ROW(B33)-ROW(B$28),報告用!$AM$4:$AM$37,報告用!$F$4:$F$37,"",FALSE)</f>
        <v>16</v>
      </c>
      <c r="C33" s="93" t="str">
        <f>_xlfn.XLOOKUP(ROW(C33)-ROW(C$28),報告用!$AM$4:$AM$37,報告用!$G$4:$G$37,"",FALSE)</f>
        <v>西山　望</v>
      </c>
      <c r="D33" s="94" t="str">
        <f t="shared" si="4"/>
        <v>様</v>
      </c>
      <c r="E33" s="95" t="str">
        <f>IF(_xlfn.XLOOKUP(ROW(E33)-ROW(E$28),報告用!$AM$4:$AM$37,報告用!$E$4:$E$37,"",FALSE)=B33,"",_xlfn.XLOOKUP(ROW(E33)-ROW(E$28),報告用!$AM$4:$AM$37,報告用!$E$4:$E$37,"",FALSE))</f>
        <v/>
      </c>
      <c r="G33" s="249"/>
      <c r="H33" s="84">
        <f>_xlfn.XLOOKUP(ROW(H33)-ROW(H$28),報告用!$AN$4:$AN$37,報告用!$F$4:$F$37,"",FALSE)</f>
        <v>17</v>
      </c>
      <c r="I33" s="85" t="str">
        <f>_xlfn.XLOOKUP(ROW(I33)-ROW(I$28),報告用!$AN$4:$AN$37,報告用!$G$4:$G$37,"",FALSE)</f>
        <v>斎藤　潤一</v>
      </c>
      <c r="J33" s="86" t="str">
        <f t="shared" si="5"/>
        <v>様</v>
      </c>
      <c r="K33" s="87" t="str">
        <f>IF(_xlfn.XLOOKUP(ROW(K33)-ROW(K$28),報告用!$AN$4:$AN$37,報告用!$E$4:$E$37,"",FALSE)=H33,"",_xlfn.XLOOKUP(ROW(K33)-ROW(K$28),報告用!$AN$4:$AN$37,報告用!$E$4:$E$37,"",FALSE))</f>
        <v/>
      </c>
      <c r="L33" s="77"/>
      <c r="M33" s="249"/>
      <c r="N33" s="84">
        <f>_xlfn.XLOOKUP(ROW(N33)-ROW(N$28),報告用!$AO$4:$AO$37,報告用!$F$4:$F$37,"",FALSE)</f>
        <v>16</v>
      </c>
      <c r="O33" s="85" t="str">
        <f>_xlfn.XLOOKUP(ROW(O33)-ROW(O$28),報告用!$AO$4:$AO$37,報告用!$G$4:$G$37,"",FALSE)</f>
        <v>西山　望</v>
      </c>
      <c r="P33" s="86" t="str">
        <f t="shared" si="6"/>
        <v>様</v>
      </c>
      <c r="Q33" s="87" t="str">
        <f>IF(_xlfn.XLOOKUP(ROW(Q33)-ROW(Q$28),報告用!$AO$4:$AO$37,報告用!$E$4:$E$37,"",FALSE)=N33,"",_xlfn.XLOOKUP(ROW(Q33)-ROW(Q$28),報告用!$AO$4:$AO$37,報告用!$E$4:$E$37,"",FALSE))</f>
        <v/>
      </c>
    </row>
    <row r="34" spans="1:17" ht="27" customHeight="1">
      <c r="A34" s="249"/>
      <c r="B34" s="84">
        <f>_xlfn.XLOOKUP(ROW(B34)-ROW(B$28),報告用!$AM$4:$AM$37,報告用!$F$4:$F$37,"",FALSE)</f>
        <v>17</v>
      </c>
      <c r="C34" s="85" t="str">
        <f>_xlfn.XLOOKUP(ROW(C34)-ROW(C$28),報告用!$AM$4:$AM$37,報告用!$G$4:$G$37,"",FALSE)</f>
        <v>斎藤　潤一</v>
      </c>
      <c r="D34" s="86" t="str">
        <f t="shared" si="4"/>
        <v>様</v>
      </c>
      <c r="E34" s="87" t="str">
        <f>IF(_xlfn.XLOOKUP(ROW(E34)-ROW(E$28),報告用!$AM$4:$AM$37,報告用!$E$4:$E$37,"",FALSE)=B34,"",_xlfn.XLOOKUP(ROW(E34)-ROW(E$28),報告用!$AM$4:$AM$37,報告用!$E$4:$E$37,"",FALSE))</f>
        <v/>
      </c>
      <c r="G34" s="249"/>
      <c r="H34" s="84">
        <f>_xlfn.XLOOKUP(ROW(H34)-ROW(H$28),報告用!$AN$4:$AN$37,報告用!$F$4:$F$37,"",FALSE)</f>
        <v>18</v>
      </c>
      <c r="I34" s="85" t="str">
        <f>_xlfn.XLOOKUP(ROW(I34)-ROW(I$28),報告用!$AN$4:$AN$37,報告用!$G$4:$G$37,"",FALSE)</f>
        <v>中澤　和江</v>
      </c>
      <c r="J34" s="86" t="str">
        <f t="shared" si="5"/>
        <v>様</v>
      </c>
      <c r="K34" s="87">
        <f>IF(_xlfn.XLOOKUP(ROW(K34)-ROW(K$28),報告用!$AN$4:$AN$37,報告用!$E$4:$E$37,"",FALSE)=H34,"",_xlfn.XLOOKUP(ROW(K34)-ROW(K$28),報告用!$AN$4:$AN$37,報告用!$E$4:$E$37,"",FALSE))</f>
        <v>17</v>
      </c>
      <c r="L34" s="77"/>
      <c r="M34" s="249"/>
      <c r="N34" s="84">
        <f>_xlfn.XLOOKUP(ROW(N34)-ROW(N$28),報告用!$AO$4:$AO$37,報告用!$F$4:$F$37,"",FALSE)</f>
        <v>17</v>
      </c>
      <c r="O34" s="85" t="str">
        <f>_xlfn.XLOOKUP(ROW(O34)-ROW(O$28),報告用!$AO$4:$AO$37,報告用!$G$4:$G$37,"",FALSE)</f>
        <v>斎藤　潤一</v>
      </c>
      <c r="P34" s="86" t="str">
        <f t="shared" si="6"/>
        <v>様</v>
      </c>
      <c r="Q34" s="87" t="str">
        <f>IF(_xlfn.XLOOKUP(ROW(Q34)-ROW(Q$28),報告用!$AO$4:$AO$37,報告用!$E$4:$E$37,"",FALSE)=N34,"",_xlfn.XLOOKUP(ROW(Q34)-ROW(Q$28),報告用!$AO$4:$AO$37,報告用!$E$4:$E$37,"",FALSE))</f>
        <v/>
      </c>
    </row>
    <row r="35" spans="1:17" ht="27" customHeight="1">
      <c r="A35" s="249"/>
      <c r="B35" s="84">
        <f>_xlfn.XLOOKUP(ROW(B35)-ROW(B$28),報告用!$AM$4:$AM$37,報告用!$F$4:$F$37,"",FALSE)</f>
        <v>18</v>
      </c>
      <c r="C35" s="85" t="str">
        <f>_xlfn.XLOOKUP(ROW(C35)-ROW(C$28),報告用!$AM$4:$AM$37,報告用!$G$4:$G$37,"",FALSE)</f>
        <v>中澤　和江</v>
      </c>
      <c r="D35" s="86" t="str">
        <f t="shared" si="4"/>
        <v>様</v>
      </c>
      <c r="E35" s="87">
        <f>IF(_xlfn.XLOOKUP(ROW(E35)-ROW(E$28),報告用!$AM$4:$AM$37,報告用!$E$4:$E$37,"",FALSE)=B35,"",_xlfn.XLOOKUP(ROW(E35)-ROW(E$28),報告用!$AM$4:$AM$37,報告用!$E$4:$E$37,"",FALSE))</f>
        <v>17</v>
      </c>
      <c r="G35" s="249"/>
      <c r="H35" s="84">
        <f>_xlfn.XLOOKUP(ROW(H35)-ROW(H$28),報告用!$AN$4:$AN$37,報告用!$F$4:$F$37,"",FALSE)</f>
        <v>18</v>
      </c>
      <c r="I35" s="85" t="str">
        <f>_xlfn.XLOOKUP(ROW(I35)-ROW(I$28),報告用!$AN$4:$AN$37,報告用!$G$4:$G$37,"",FALSE)</f>
        <v>山本　たみ子</v>
      </c>
      <c r="J35" s="86" t="str">
        <f t="shared" si="5"/>
        <v>様</v>
      </c>
      <c r="K35" s="87" t="str">
        <f>IF(_xlfn.XLOOKUP(ROW(K35)-ROW(K$28),報告用!$AN$4:$AN$37,報告用!$E$4:$E$37,"",FALSE)=H35,"",_xlfn.XLOOKUP(ROW(K35)-ROW(K$28),報告用!$AN$4:$AN$37,報告用!$E$4:$E$37,"",FALSE))</f>
        <v/>
      </c>
      <c r="L35" s="77"/>
      <c r="M35" s="249"/>
      <c r="N35" s="84">
        <f>_xlfn.XLOOKUP(ROW(N35)-ROW(N$28),報告用!$AO$4:$AO$37,報告用!$F$4:$F$37,"",FALSE)</f>
        <v>18</v>
      </c>
      <c r="O35" s="85" t="str">
        <f>_xlfn.XLOOKUP(ROW(O35)-ROW(O$28),報告用!$AO$4:$AO$37,報告用!$G$4:$G$37,"",FALSE)</f>
        <v>中澤　和江</v>
      </c>
      <c r="P35" s="86" t="str">
        <f t="shared" si="6"/>
        <v>様</v>
      </c>
      <c r="Q35" s="87">
        <f>IF(_xlfn.XLOOKUP(ROW(Q35)-ROW(Q$28),報告用!$AO$4:$AO$37,報告用!$E$4:$E$37,"",FALSE)=N35,"",_xlfn.XLOOKUP(ROW(Q35)-ROW(Q$28),報告用!$AO$4:$AO$37,報告用!$E$4:$E$37,"",FALSE))</f>
        <v>17</v>
      </c>
    </row>
    <row r="36" spans="1:17" ht="27" customHeight="1">
      <c r="A36" s="249"/>
      <c r="B36" s="84">
        <f>_xlfn.XLOOKUP(ROW(B36)-ROW(B$28),報告用!$AM$4:$AM$37,報告用!$F$4:$F$37,"",FALSE)</f>
        <v>18</v>
      </c>
      <c r="C36" s="85" t="str">
        <f>_xlfn.XLOOKUP(ROW(C36)-ROW(C$28),報告用!$AM$4:$AM$37,報告用!$G$4:$G$37,"",FALSE)</f>
        <v>山本　たみ子</v>
      </c>
      <c r="D36" s="86" t="str">
        <f t="shared" si="4"/>
        <v>様</v>
      </c>
      <c r="E36" s="87" t="str">
        <f>IF(_xlfn.XLOOKUP(ROW(E36)-ROW(E$28),報告用!$AM$4:$AM$37,報告用!$E$4:$E$37,"",FALSE)=B36,"",_xlfn.XLOOKUP(ROW(E36)-ROW(E$28),報告用!$AM$4:$AM$37,報告用!$E$4:$E$37,"",FALSE))</f>
        <v/>
      </c>
      <c r="G36" s="249"/>
      <c r="H36" s="84">
        <f>_xlfn.XLOOKUP(ROW(H36)-ROW(H$28),報告用!$AN$4:$AN$37,報告用!$F$4:$F$37,"",FALSE)</f>
        <v>20</v>
      </c>
      <c r="I36" s="85" t="str">
        <f>_xlfn.XLOOKUP(ROW(I36)-ROW(I$28),報告用!$AN$4:$AN$37,報告用!$G$4:$G$37,"",FALSE)</f>
        <v>小口　千穂</v>
      </c>
      <c r="J36" s="86" t="str">
        <f t="shared" si="5"/>
        <v>様</v>
      </c>
      <c r="K36" s="87" t="str">
        <f>IF(_xlfn.XLOOKUP(ROW(K36)-ROW(K$28),報告用!$AN$4:$AN$37,報告用!$E$4:$E$37,"",FALSE)=H36,"",_xlfn.XLOOKUP(ROW(K36)-ROW(K$28),報告用!$AN$4:$AN$37,報告用!$E$4:$E$37,"",FALSE))</f>
        <v/>
      </c>
      <c r="L36" s="77"/>
      <c r="M36" s="249"/>
      <c r="N36" s="84">
        <f>_xlfn.XLOOKUP(ROW(N36)-ROW(N$28),報告用!$AO$4:$AO$37,報告用!$F$4:$F$37,"",FALSE)</f>
        <v>18</v>
      </c>
      <c r="O36" s="85" t="str">
        <f>_xlfn.XLOOKUP(ROW(O36)-ROW(O$28),報告用!$AO$4:$AO$37,報告用!$G$4:$G$37,"",FALSE)</f>
        <v>深味　照子</v>
      </c>
      <c r="P36" s="86" t="str">
        <f t="shared" si="6"/>
        <v>様</v>
      </c>
      <c r="Q36" s="87" t="str">
        <f>IF(_xlfn.XLOOKUP(ROW(Q36)-ROW(Q$28),報告用!$AO$4:$AO$37,報告用!$E$4:$E$37,"",FALSE)=N36,"",_xlfn.XLOOKUP(ROW(Q36)-ROW(Q$28),報告用!$AO$4:$AO$37,報告用!$E$4:$E$37,"",FALSE))</f>
        <v/>
      </c>
    </row>
    <row r="37" spans="1:17" ht="27" customHeight="1">
      <c r="A37" s="249"/>
      <c r="B37" s="84">
        <f>_xlfn.XLOOKUP(ROW(B37)-ROW(B$28),報告用!$AM$4:$AM$37,報告用!$F$4:$F$37,"",FALSE)</f>
        <v>20</v>
      </c>
      <c r="C37" s="85" t="str">
        <f>_xlfn.XLOOKUP(ROW(C37)-ROW(C$28),報告用!$AM$4:$AM$37,報告用!$G$4:$G$37,"",FALSE)</f>
        <v>小口　千穂</v>
      </c>
      <c r="D37" s="86" t="str">
        <f t="shared" si="4"/>
        <v>様</v>
      </c>
      <c r="E37" s="87" t="str">
        <f>IF(_xlfn.XLOOKUP(ROW(E37)-ROW(E$28),報告用!$AM$4:$AM$37,報告用!$E$4:$E$37,"",FALSE)=B37,"",_xlfn.XLOOKUP(ROW(E37)-ROW(E$28),報告用!$AM$4:$AM$37,報告用!$E$4:$E$37,"",FALSE))</f>
        <v/>
      </c>
      <c r="G37" s="249"/>
      <c r="H37" s="84">
        <f>_xlfn.XLOOKUP(ROW(H37)-ROW(H$28),報告用!$AN$4:$AN$37,報告用!$F$4:$F$37,"",FALSE)</f>
        <v>20</v>
      </c>
      <c r="I37" s="85" t="str">
        <f>_xlfn.XLOOKUP(ROW(I37)-ROW(I$28),報告用!$AN$4:$AN$37,報告用!$G$4:$G$37,"",FALSE)</f>
        <v>堀内　竹子</v>
      </c>
      <c r="J37" s="86" t="str">
        <f t="shared" si="5"/>
        <v>様</v>
      </c>
      <c r="K37" s="87" t="str">
        <f>IF(_xlfn.XLOOKUP(ROW(K37)-ROW(K$28),報告用!$AN$4:$AN$37,報告用!$E$4:$E$37,"",FALSE)=H37,"",_xlfn.XLOOKUP(ROW(K37)-ROW(K$28),報告用!$AN$4:$AN$37,報告用!$E$4:$E$37,"",FALSE))</f>
        <v/>
      </c>
      <c r="L37" s="77"/>
      <c r="M37" s="249"/>
      <c r="N37" s="84">
        <f>_xlfn.XLOOKUP(ROW(N37)-ROW(N$28),報告用!$AO$4:$AO$37,報告用!$F$4:$F$37,"",FALSE)</f>
        <v>18</v>
      </c>
      <c r="O37" s="85" t="str">
        <f>_xlfn.XLOOKUP(ROW(O37)-ROW(O$28),報告用!$AO$4:$AO$37,報告用!$G$4:$G$37,"",FALSE)</f>
        <v>山本　たみ子</v>
      </c>
      <c r="P37" s="86" t="str">
        <f t="shared" si="6"/>
        <v>様</v>
      </c>
      <c r="Q37" s="87" t="str">
        <f>IF(_xlfn.XLOOKUP(ROW(Q37)-ROW(Q$28),報告用!$AO$4:$AO$37,報告用!$E$4:$E$37,"",FALSE)=N37,"",_xlfn.XLOOKUP(ROW(Q37)-ROW(Q$28),報告用!$AO$4:$AO$37,報告用!$E$4:$E$37,"",FALSE))</f>
        <v/>
      </c>
    </row>
    <row r="38" spans="1:17" ht="27" customHeight="1">
      <c r="A38" s="249"/>
      <c r="B38" s="84">
        <f>_xlfn.XLOOKUP(ROW(B38)-ROW(B$28),報告用!$AM$4:$AM$37,報告用!$F$4:$F$37,"",FALSE)</f>
        <v>20</v>
      </c>
      <c r="C38" s="85" t="str">
        <f>_xlfn.XLOOKUP(ROW(C38)-ROW(C$28),報告用!$AM$4:$AM$37,報告用!$G$4:$G$37,"",FALSE)</f>
        <v>堀内　竹子</v>
      </c>
      <c r="D38" s="86" t="str">
        <f t="shared" si="4"/>
        <v>様</v>
      </c>
      <c r="E38" s="87" t="str">
        <f>IF(_xlfn.XLOOKUP(ROW(E38)-ROW(E$28),報告用!$AM$4:$AM$37,報告用!$E$4:$E$37,"",FALSE)=B38,"",_xlfn.XLOOKUP(ROW(E38)-ROW(E$28),報告用!$AM$4:$AM$37,報告用!$E$4:$E$37,"",FALSE))</f>
        <v/>
      </c>
      <c r="G38" s="249"/>
      <c r="H38" s="84">
        <f>_xlfn.XLOOKUP(ROW(H38)-ROW(H$28),報告用!$AN$4:$AN$37,報告用!$F$4:$F$37,"",FALSE)</f>
        <v>21</v>
      </c>
      <c r="I38" s="85" t="str">
        <f>_xlfn.XLOOKUP(ROW(I38)-ROW(I$28),報告用!$AN$4:$AN$37,報告用!$G$4:$G$37,"",FALSE)</f>
        <v>小林　國光</v>
      </c>
      <c r="J38" s="86" t="str">
        <f t="shared" si="5"/>
        <v>様</v>
      </c>
      <c r="K38" s="87">
        <f>IF(_xlfn.XLOOKUP(ROW(K38)-ROW(K$28),報告用!$AN$4:$AN$37,報告用!$E$4:$E$37,"",FALSE)=H38,"",_xlfn.XLOOKUP(ROW(K38)-ROW(K$28),報告用!$AN$4:$AN$37,報告用!$E$4:$E$37,"",FALSE))</f>
        <v>17</v>
      </c>
      <c r="L38" s="77"/>
      <c r="M38" s="249"/>
      <c r="N38" s="84">
        <f>_xlfn.XLOOKUP(ROW(N38)-ROW(N$28),報告用!$AO$4:$AO$37,報告用!$F$4:$F$37,"",FALSE)</f>
        <v>20</v>
      </c>
      <c r="O38" s="85" t="str">
        <f>_xlfn.XLOOKUP(ROW(O38)-ROW(O$28),報告用!$AO$4:$AO$37,報告用!$G$4:$G$37,"",FALSE)</f>
        <v>小口　千穂</v>
      </c>
      <c r="P38" s="86" t="str">
        <f t="shared" si="6"/>
        <v>様</v>
      </c>
      <c r="Q38" s="87" t="str">
        <f>IF(_xlfn.XLOOKUP(ROW(Q38)-ROW(Q$28),報告用!$AO$4:$AO$37,報告用!$E$4:$E$37,"",FALSE)=N38,"",_xlfn.XLOOKUP(ROW(Q38)-ROW(Q$28),報告用!$AO$4:$AO$37,報告用!$E$4:$E$37,"",FALSE))</f>
        <v/>
      </c>
    </row>
    <row r="39" spans="1:17" ht="27" customHeight="1">
      <c r="A39" s="249"/>
      <c r="B39" s="84">
        <f>_xlfn.XLOOKUP(ROW(B39)-ROW(B$28),報告用!$AM$4:$AM$37,報告用!$F$4:$F$37,"",FALSE)</f>
        <v>21</v>
      </c>
      <c r="C39" s="85" t="str">
        <f>_xlfn.XLOOKUP(ROW(C39)-ROW(C$28),報告用!$AM$4:$AM$37,報告用!$G$4:$G$37,"",FALSE)</f>
        <v>小林　國光</v>
      </c>
      <c r="D39" s="86" t="str">
        <f t="shared" si="4"/>
        <v>様</v>
      </c>
      <c r="E39" s="87">
        <f>IF(_xlfn.XLOOKUP(ROW(E39)-ROW(E$28),報告用!$AM$4:$AM$37,報告用!$E$4:$E$37,"",FALSE)=B39,"",_xlfn.XLOOKUP(ROW(E39)-ROW(E$28),報告用!$AM$4:$AM$37,報告用!$E$4:$E$37,"",FALSE))</f>
        <v>17</v>
      </c>
      <c r="G39" s="249"/>
      <c r="H39" s="84">
        <f>_xlfn.XLOOKUP(ROW(H39)-ROW(H$28),報告用!$AN$4:$AN$37,報告用!$F$4:$F$37,"",FALSE)</f>
        <v>21</v>
      </c>
      <c r="I39" s="85" t="str">
        <f>_xlfn.XLOOKUP(ROW(I39)-ROW(I$28),報告用!$AN$4:$AN$37,報告用!$G$4:$G$37,"",FALSE)</f>
        <v>土田　茂</v>
      </c>
      <c r="J39" s="86" t="str">
        <f t="shared" si="5"/>
        <v>様</v>
      </c>
      <c r="K39" s="87" t="str">
        <f>IF(_xlfn.XLOOKUP(ROW(K39)-ROW(K$28),報告用!$AN$4:$AN$37,報告用!$E$4:$E$37,"",FALSE)=H39,"",_xlfn.XLOOKUP(ROW(K39)-ROW(K$28),報告用!$AN$4:$AN$37,報告用!$E$4:$E$37,"",FALSE))</f>
        <v/>
      </c>
      <c r="L39" s="77"/>
      <c r="M39" s="249"/>
      <c r="N39" s="84">
        <f>_xlfn.XLOOKUP(ROW(N39)-ROW(N$28),報告用!$AO$4:$AO$37,報告用!$F$4:$F$37,"",FALSE)</f>
        <v>20</v>
      </c>
      <c r="O39" s="85" t="str">
        <f>_xlfn.XLOOKUP(ROW(O39)-ROW(O$28),報告用!$AO$4:$AO$37,報告用!$G$4:$G$37,"",FALSE)</f>
        <v>堀内　竹子</v>
      </c>
      <c r="P39" s="86" t="str">
        <f t="shared" si="6"/>
        <v>様</v>
      </c>
      <c r="Q39" s="87" t="str">
        <f>IF(_xlfn.XLOOKUP(ROW(Q39)-ROW(Q$28),報告用!$AO$4:$AO$37,報告用!$E$4:$E$37,"",FALSE)=N39,"",_xlfn.XLOOKUP(ROW(Q39)-ROW(Q$28),報告用!$AO$4:$AO$37,報告用!$E$4:$E$37,"",FALSE))</f>
        <v/>
      </c>
    </row>
    <row r="40" spans="1:17" ht="27" customHeight="1" thickBot="1">
      <c r="A40" s="250"/>
      <c r="B40" s="96">
        <f>_xlfn.XLOOKUP(ROW(B40)-ROW(B$28),報告用!$AM$4:$AM$37,報告用!$F$4:$F$37,"",FALSE)</f>
        <v>21</v>
      </c>
      <c r="C40" s="97" t="str">
        <f>_xlfn.XLOOKUP(ROW(C40)-ROW(C$28),報告用!$AM$4:$AM$37,報告用!$G$4:$G$37,"",FALSE)</f>
        <v>土田　茂</v>
      </c>
      <c r="D40" s="98" t="str">
        <f t="shared" si="4"/>
        <v>様</v>
      </c>
      <c r="E40" s="99" t="str">
        <f>IF(_xlfn.XLOOKUP(ROW(E40)-ROW(E$28),報告用!$AM$4:$AM$37,報告用!$E$4:$E$37,"",FALSE)=B40,"",_xlfn.XLOOKUP(ROW(E40)-ROW(E$28),報告用!$AM$4:$AM$37,報告用!$E$4:$E$37,"",FALSE))</f>
        <v/>
      </c>
      <c r="G40" s="250"/>
      <c r="H40" s="96">
        <f>_xlfn.XLOOKUP(ROW(H40)-ROW(H$28),報告用!$AN$4:$AN$37,報告用!$F$4:$F$37,"",FALSE)</f>
        <v>21</v>
      </c>
      <c r="I40" s="97" t="str">
        <f>_xlfn.XLOOKUP(ROW(I40)-ROW(I$28),報告用!$AN$4:$AN$37,報告用!$G$4:$G$37,"",FALSE)</f>
        <v>加納　鉄也</v>
      </c>
      <c r="J40" s="98" t="str">
        <f t="shared" si="5"/>
        <v>様</v>
      </c>
      <c r="K40" s="99">
        <f>IF(_xlfn.XLOOKUP(ROW(K40)-ROW(K$28),報告用!$AN$4:$AN$37,報告用!$E$4:$E$37,"",FALSE)=H40,"",_xlfn.XLOOKUP(ROW(K40)-ROW(K$28),報告用!$AN$4:$AN$37,報告用!$E$4:$E$37,"",FALSE))</f>
        <v>16</v>
      </c>
      <c r="L40" s="77"/>
      <c r="M40" s="250"/>
      <c r="N40" s="96">
        <f>_xlfn.XLOOKUP(ROW(N40)-ROW(N$28),報告用!$AO$4:$AO$37,報告用!$F$4:$F$37,"",FALSE)</f>
        <v>21</v>
      </c>
      <c r="O40" s="97" t="str">
        <f>_xlfn.XLOOKUP(ROW(O40)-ROW(O$28),報告用!$AO$4:$AO$37,報告用!$G$4:$G$37,"",FALSE)</f>
        <v>小林　國光</v>
      </c>
      <c r="P40" s="98" t="str">
        <f t="shared" si="6"/>
        <v>様</v>
      </c>
      <c r="Q40" s="99">
        <f>IF(_xlfn.XLOOKUP(ROW(Q40)-ROW(Q$28),報告用!$AO$4:$AO$37,報告用!$E$4:$E$37,"",FALSE)=N40,"",_xlfn.XLOOKUP(ROW(Q40)-ROW(Q$28),報告用!$AO$4:$AO$37,報告用!$E$4:$E$37,"",FALSE))</f>
        <v>17</v>
      </c>
    </row>
    <row r="41" spans="1:17" ht="27" customHeight="1">
      <c r="A41" s="75"/>
      <c r="B41" s="75"/>
      <c r="C41" s="75"/>
      <c r="D41" s="75"/>
      <c r="E41" s="75"/>
      <c r="F41" s="75"/>
      <c r="G41" s="233" t="s">
        <v>41</v>
      </c>
      <c r="H41" s="233"/>
      <c r="I41" s="233"/>
      <c r="J41" s="233"/>
      <c r="K41" s="233"/>
      <c r="L41" s="75"/>
      <c r="M41" s="75"/>
      <c r="N41" s="75"/>
      <c r="O41" s="75"/>
      <c r="P41" s="75"/>
      <c r="Q41" s="75"/>
    </row>
    <row r="42" spans="1:17" ht="27" customHeight="1" thickBot="1">
      <c r="A42" s="256" t="s">
        <v>50</v>
      </c>
      <c r="B42" s="256"/>
      <c r="C42" s="256"/>
      <c r="D42" s="256"/>
      <c r="E42" s="256"/>
      <c r="F42" s="75"/>
      <c r="G42" s="255"/>
      <c r="H42" s="255"/>
      <c r="I42" s="255"/>
      <c r="J42" s="255"/>
      <c r="K42" s="255"/>
      <c r="L42" s="75"/>
      <c r="M42" s="257">
        <f>報告用!$O$2</f>
        <v>46106</v>
      </c>
      <c r="N42" s="257"/>
      <c r="O42" s="257"/>
      <c r="P42" s="257"/>
      <c r="Q42" s="257"/>
    </row>
    <row r="43" spans="1:17" ht="27" customHeight="1">
      <c r="A43" s="258" t="s">
        <v>31</v>
      </c>
      <c r="B43" s="251" t="s">
        <v>36</v>
      </c>
      <c r="C43" s="251"/>
      <c r="D43" s="251"/>
      <c r="E43" s="252"/>
      <c r="G43" s="258" t="s">
        <v>31</v>
      </c>
      <c r="H43" s="251" t="s">
        <v>9</v>
      </c>
      <c r="I43" s="251"/>
      <c r="J43" s="251"/>
      <c r="K43" s="252"/>
      <c r="L43" s="77"/>
      <c r="M43" s="258" t="s">
        <v>31</v>
      </c>
      <c r="N43" s="251" t="s">
        <v>10</v>
      </c>
      <c r="O43" s="251"/>
      <c r="P43" s="251"/>
      <c r="Q43" s="252"/>
    </row>
    <row r="44" spans="1:17" ht="27" customHeight="1" thickBot="1">
      <c r="A44" s="247"/>
      <c r="B44" s="78" t="s">
        <v>18</v>
      </c>
      <c r="C44" s="253" t="s">
        <v>17</v>
      </c>
      <c r="D44" s="254"/>
      <c r="E44" s="79" t="s">
        <v>30</v>
      </c>
      <c r="G44" s="247"/>
      <c r="H44" s="78" t="s">
        <v>18</v>
      </c>
      <c r="I44" s="253" t="s">
        <v>17</v>
      </c>
      <c r="J44" s="254"/>
      <c r="K44" s="79" t="s">
        <v>30</v>
      </c>
      <c r="L44" s="77"/>
      <c r="M44" s="247"/>
      <c r="N44" s="78" t="s">
        <v>18</v>
      </c>
      <c r="O44" s="253" t="s">
        <v>17</v>
      </c>
      <c r="P44" s="254"/>
      <c r="Q44" s="79" t="s">
        <v>30</v>
      </c>
    </row>
    <row r="45" spans="1:17" ht="27" customHeight="1" thickTop="1">
      <c r="A45" s="248" t="s">
        <v>32</v>
      </c>
      <c r="B45" s="141">
        <f>_xlfn.XLOOKUP(ROW(B45)-ROW(B$44),報告用!$AC$44:$AC$87,報告用!F$44:F$87,"",FALSE)</f>
        <v>23</v>
      </c>
      <c r="C45" s="54" t="str">
        <f>_xlfn.XLOOKUP(ROW(C45)-ROW(C$44),報告用!$AC$44:$AC$87,報告用!G$44:G$87,"",FALSE)</f>
        <v>森下計二</v>
      </c>
      <c r="D45" s="101" t="str">
        <f>IF(C45="","","様")</f>
        <v>様</v>
      </c>
      <c r="E45" s="142" t="str">
        <f>IF(_xlfn.XLOOKUP(ROW(E45)-ROW(E$44),報告用!$AC$44:$AC$87,報告用!E$44:E$87,"",FALSE)=B45,"",_xlfn.XLOOKUP(ROW(E45)-ROW(E$44),報告用!$AC$44:$AC$87,報告用!E$44:E$87,"",FALSE))</f>
        <v/>
      </c>
      <c r="G45" s="245" t="s">
        <v>35</v>
      </c>
      <c r="H45" s="49">
        <f>_xlfn.XLOOKUP(ROW(H45)-ROW(H$44),報告用!$AF$44:$AF$87,報告用!$F$44:$F$87,"",FALSE)</f>
        <v>22</v>
      </c>
      <c r="I45" s="48" t="str">
        <f>_xlfn.XLOOKUP(ROW(I45)-ROW(I$44),報告用!$AF$44:$AF$87,報告用!$G$44:$G$87,"",FALSE)</f>
        <v>丸山　由美子</v>
      </c>
      <c r="J45" s="101" t="str">
        <f t="shared" ref="J45:J60" si="7">IF(I45="","","様")</f>
        <v>様</v>
      </c>
      <c r="K45" s="50" t="str">
        <f>IF(_xlfn.XLOOKUP(ROW(K45)-ROW(K$44),報告用!$AF$44:$AF$87,報告用!$E$44:$E$87,"",FALSE)=H45,"",_xlfn.XLOOKUP(ROW(K45)-ROW(K$44),報告用!$AF$44:$AF$87,報告用!$E$44:$E$87,"",FALSE))</f>
        <v/>
      </c>
      <c r="L45" s="77"/>
      <c r="M45" s="245" t="s">
        <v>35</v>
      </c>
      <c r="N45" s="49">
        <f>_xlfn.XLOOKUP(ROW(N45)-ROW(N$44),報告用!$AG$44:$AG$87,報告用!$F$44:$F$87,"",FALSE)</f>
        <v>22</v>
      </c>
      <c r="O45" s="48" t="str">
        <f>_xlfn.XLOOKUP(ROW(O45)-ROW(O$44),報告用!$AG$44:$AG$87,報告用!$G$44:$G$87,"",FALSE)</f>
        <v>丸山　由美子</v>
      </c>
      <c r="P45" s="101" t="str">
        <f t="shared" ref="P45:P60" si="8">IF(O45="","","様")</f>
        <v>様</v>
      </c>
      <c r="Q45" s="50" t="str">
        <f>IF(_xlfn.XLOOKUP(ROW(Q45)-ROW(Q$44),報告用!$AG$44:$AG$87,報告用!$E$44:$E$87,"",FALSE)=N45,"",_xlfn.XLOOKUP(ROW(Q45)-ROW(Q$44),報告用!$AG$44:$AG$87,報告用!$E$44:$E$87,"",FALSE))</f>
        <v/>
      </c>
    </row>
    <row r="46" spans="1:17" ht="27" customHeight="1">
      <c r="A46" s="249"/>
      <c r="B46" s="141">
        <f>_xlfn.XLOOKUP(ROW(B46)-ROW(B$44),報告用!$AC$44:$AC$87,報告用!F$44:F$87,"",FALSE)</f>
        <v>23</v>
      </c>
      <c r="C46" s="54" t="str">
        <f>_xlfn.XLOOKUP(ROW(C46)-ROW(C$44),報告用!$AC$44:$AC$87,報告用!G$44:G$87,"",FALSE)</f>
        <v>中川　誠</v>
      </c>
      <c r="D46" s="102" t="str">
        <f t="shared" ref="D46:D60" si="9">IF(C46="","","様")</f>
        <v>様</v>
      </c>
      <c r="E46" s="47" t="str">
        <f>IF(_xlfn.XLOOKUP(ROW(E46)-ROW(E$44),報告用!$AC$44:$AC$87,報告用!E$44:E$87,"",FALSE)=B46,"",_xlfn.XLOOKUP(ROW(E46)-ROW(E$44),報告用!$AC$44:$AC$87,報告用!E$44:E$87,"",FALSE))</f>
        <v/>
      </c>
      <c r="G46" s="246"/>
      <c r="H46" s="46">
        <f>_xlfn.XLOOKUP(ROW(H46)-ROW(H$44),報告用!$AF$44:$AF$87,報告用!$F$44:$F$87,"",FALSE)</f>
        <v>23</v>
      </c>
      <c r="I46" s="54" t="str">
        <f>_xlfn.XLOOKUP(ROW(I46)-ROW(I$44),報告用!$AF$44:$AF$87,報告用!$G$44:$G$87,"",FALSE)</f>
        <v>森下計二</v>
      </c>
      <c r="J46" s="102" t="str">
        <f t="shared" si="7"/>
        <v>様</v>
      </c>
      <c r="K46" s="47" t="str">
        <f>IF(_xlfn.XLOOKUP(ROW(K46)-ROW(K$44),報告用!$AF$44:$AF$87,報告用!$E$44:$E$87,"",FALSE)=H46,"",_xlfn.XLOOKUP(ROW(K46)-ROW(K$44),報告用!$AF$44:$AF$87,報告用!$E$44:$E$87,"",FALSE))</f>
        <v/>
      </c>
      <c r="L46" s="77"/>
      <c r="M46" s="246"/>
      <c r="N46" s="46">
        <f>_xlfn.XLOOKUP(ROW(N46)-ROW(N$44),報告用!$AG$44:$AG$87,報告用!$F$44:$F$87,"",FALSE)</f>
        <v>23</v>
      </c>
      <c r="O46" s="54" t="str">
        <f>_xlfn.XLOOKUP(ROW(O46)-ROW(O$44),報告用!$AG$44:$AG$87,報告用!$G$44:$G$87,"",FALSE)</f>
        <v>森下計二</v>
      </c>
      <c r="P46" s="102" t="str">
        <f t="shared" si="8"/>
        <v>様</v>
      </c>
      <c r="Q46" s="47" t="str">
        <f>IF(_xlfn.XLOOKUP(ROW(Q46)-ROW(Q$44),報告用!$AG$44:$AG$87,報告用!$E$44:$E$87,"",FALSE)=N46,"",_xlfn.XLOOKUP(ROW(Q46)-ROW(Q$44),報告用!$AG$44:$AG$87,報告用!$E$44:$E$87,"",FALSE))</f>
        <v/>
      </c>
    </row>
    <row r="47" spans="1:17" ht="27" customHeight="1">
      <c r="A47" s="249"/>
      <c r="B47" s="141">
        <f>_xlfn.XLOOKUP(ROW(B47)-ROW(B$44),報告用!$AC$44:$AC$87,報告用!F$44:F$87,"",FALSE)</f>
        <v>25</v>
      </c>
      <c r="C47" s="54" t="str">
        <f>_xlfn.XLOOKUP(ROW(C47)-ROW(C$44),報告用!$AC$44:$AC$87,報告用!G$44:G$87,"",FALSE)</f>
        <v>★村松　恒彦</v>
      </c>
      <c r="D47" s="102" t="str">
        <f t="shared" si="9"/>
        <v>様</v>
      </c>
      <c r="E47" s="47" t="str">
        <f>IF(_xlfn.XLOOKUP(ROW(E47)-ROW(E$44),報告用!$AC$44:$AC$87,報告用!E$44:E$87,"",FALSE)=B47,"",_xlfn.XLOOKUP(ROW(E47)-ROW(E$44),報告用!$AC$44:$AC$87,報告用!E$44:E$87,"",FALSE))</f>
        <v/>
      </c>
      <c r="G47" s="246"/>
      <c r="H47" s="46">
        <f>_xlfn.XLOOKUP(ROW(H47)-ROW(H$44),報告用!$AF$44:$AF$87,報告用!$F$44:$F$87,"",FALSE)</f>
        <v>25</v>
      </c>
      <c r="I47" s="54" t="str">
        <f>_xlfn.XLOOKUP(ROW(I47)-ROW(I$44),報告用!$AF$44:$AF$87,報告用!$G$44:$G$87,"",FALSE)</f>
        <v>鈴木　賢浄</v>
      </c>
      <c r="J47" s="102" t="str">
        <f t="shared" si="7"/>
        <v>様</v>
      </c>
      <c r="K47" s="47" t="str">
        <f>IF(_xlfn.XLOOKUP(ROW(K47)-ROW(K$44),報告用!$AF$44:$AF$87,報告用!$E$44:$E$87,"",FALSE)=H47,"",_xlfn.XLOOKUP(ROW(K47)-ROW(K$44),報告用!$AF$44:$AF$87,報告用!$E$44:$E$87,"",FALSE))</f>
        <v/>
      </c>
      <c r="L47" s="77"/>
      <c r="M47" s="246"/>
      <c r="N47" s="46">
        <f>_xlfn.XLOOKUP(ROW(N47)-ROW(N$44),報告用!$AG$44:$AG$87,報告用!$F$44:$F$87,"",FALSE)</f>
        <v>25</v>
      </c>
      <c r="O47" s="54" t="str">
        <f>_xlfn.XLOOKUP(ROW(O47)-ROW(O$44),報告用!$AG$44:$AG$87,報告用!$G$44:$G$87,"",FALSE)</f>
        <v>鈴木　賢浄</v>
      </c>
      <c r="P47" s="102" t="str">
        <f t="shared" si="8"/>
        <v>様</v>
      </c>
      <c r="Q47" s="47" t="str">
        <f>IF(_xlfn.XLOOKUP(ROW(Q47)-ROW(Q$44),報告用!$AG$44:$AG$87,報告用!$E$44:$E$87,"",FALSE)=N47,"",_xlfn.XLOOKUP(ROW(Q47)-ROW(Q$44),報告用!$AG$44:$AG$87,報告用!$E$44:$E$87,"",FALSE))</f>
        <v/>
      </c>
    </row>
    <row r="48" spans="1:17" ht="27" customHeight="1" thickBot="1">
      <c r="A48" s="249"/>
      <c r="B48" s="100">
        <v>12</v>
      </c>
      <c r="C48" s="85" t="s">
        <v>59</v>
      </c>
      <c r="D48" s="102" t="str">
        <f t="shared" si="9"/>
        <v>様</v>
      </c>
      <c r="E48" s="142">
        <f>IF(_xlfn.XLOOKUP(ROW(E48)-ROW(E$44),報告用!$AC$44:$AC$87,報告用!E$44:E$87,"",FALSE)=B48,"",_xlfn.XLOOKUP(ROW(E48)-ROW(E$44),報告用!$AC$44:$AC$87,報告用!E$44:E$87,"",FALSE))</f>
        <v>5</v>
      </c>
      <c r="G48" s="247"/>
      <c r="H48" s="52">
        <f>_xlfn.XLOOKUP(ROW(H48)-ROW(H$44),報告用!$AF$44:$AF$87,報告用!$F$44:$F$87,"",FALSE)</f>
        <v>1</v>
      </c>
      <c r="I48" s="51" t="str">
        <f>_xlfn.XLOOKUP(ROW(I48)-ROW(I$44),報告用!$AF$44:$AF$87,報告用!$G$44:$G$87,"",FALSE)</f>
        <v>笹本　定子</v>
      </c>
      <c r="J48" s="103" t="str">
        <f t="shared" si="7"/>
        <v>様</v>
      </c>
      <c r="K48" s="53" t="str">
        <f>IF(_xlfn.XLOOKUP(ROW(K48)-ROW(K$44),報告用!$AF$44:$AF$87,報告用!$E$44:$E$87,"",FALSE)=H48,"",_xlfn.XLOOKUP(ROW(K48)-ROW(K$44),報告用!$AF$44:$AF$87,報告用!$E$44:$E$87,"",FALSE))</f>
        <v/>
      </c>
      <c r="L48" s="77"/>
      <c r="M48" s="247"/>
      <c r="N48" s="52">
        <f>_xlfn.XLOOKUP(ROW(N48)-ROW(N$44),報告用!$AG$44:$AG$87,報告用!$F$44:$F$87,"",FALSE)</f>
        <v>1</v>
      </c>
      <c r="O48" s="51" t="str">
        <f>_xlfn.XLOOKUP(ROW(O48)-ROW(O$44),報告用!$AG$44:$AG$87,報告用!$G$44:$G$87,"",FALSE)</f>
        <v>笹本　定子</v>
      </c>
      <c r="P48" s="103" t="str">
        <f t="shared" si="8"/>
        <v>様</v>
      </c>
      <c r="Q48" s="53" t="str">
        <f>IF(_xlfn.XLOOKUP(ROW(Q48)-ROW(Q$44),報告用!$AG$44:$AG$87,報告用!$E$44:$E$87,"",FALSE)=N48,"",_xlfn.XLOOKUP(ROW(Q48)-ROW(Q$44),報告用!$AG$44:$AG$87,報告用!$E$44:$E$87,"",FALSE))</f>
        <v/>
      </c>
    </row>
    <row r="49" spans="1:17" ht="27" customHeight="1" thickTop="1">
      <c r="A49" s="249"/>
      <c r="B49" s="141">
        <f>_xlfn.XLOOKUP(ROW(B49)-ROW(B$44),報告用!$AC$44:$AC$87,報告用!F$44:F$87,"",FALSE)</f>
        <v>6</v>
      </c>
      <c r="C49" s="54" t="str">
        <f>_xlfn.XLOOKUP(ROW(C49)-ROW(C$44),報告用!$AC$44:$AC$87,報告用!G$44:G$87,"",FALSE)</f>
        <v>★フジイロザスミコ</v>
      </c>
      <c r="D49" s="102" t="str">
        <f t="shared" si="9"/>
        <v>様</v>
      </c>
      <c r="E49" s="47" t="str">
        <f>IF(_xlfn.XLOOKUP(ROW(E49)-ROW(E$44),報告用!$AC$44:$AC$87,報告用!E$44:E$87,"",FALSE)=B49,"",_xlfn.XLOOKUP(ROW(E49)-ROW(E$44),報告用!$AC$44:$AC$87,報告用!E$44:E$87,"",FALSE))</f>
        <v/>
      </c>
      <c r="G49" s="249" t="s">
        <v>25</v>
      </c>
      <c r="H49" s="141">
        <f>_xlfn.XLOOKUP(ROW(H49)-ROW(H$48),報告用!$AK$44:$AK$87,報告用!$F$44:$F$87,"",FALSE)</f>
        <v>23</v>
      </c>
      <c r="I49" s="54" t="str">
        <f>_xlfn.XLOOKUP(ROW(I49)-ROW(I$48),報告用!$AK$44:$AK$87,報告用!$G$44:$G$87,"",FALSE)</f>
        <v>森下計二</v>
      </c>
      <c r="J49" s="104" t="str">
        <f t="shared" si="7"/>
        <v>様</v>
      </c>
      <c r="K49" s="142" t="str">
        <f>IF(_xlfn.XLOOKUP(ROW(K49)-ROW(K$48),報告用!$AK$44:$AK$87,報告用!$E$44:$E$87,"",FALSE)=H49,"",_xlfn.XLOOKUP(ROW(K49)-ROW(K$48),報告用!$AK$44:$AK$87,報告用!$E$44:$E$87,"",FALSE))</f>
        <v/>
      </c>
      <c r="L49" s="77"/>
      <c r="M49" s="249" t="s">
        <v>25</v>
      </c>
      <c r="N49" s="141">
        <f>_xlfn.XLOOKUP(ROW(N49)-ROW(N$48),報告用!$AL$44:$AL$87,報告用!$F$44:$F$87,"",FALSE)</f>
        <v>23</v>
      </c>
      <c r="O49" s="54" t="str">
        <f>_xlfn.XLOOKUP(ROW(O49)-ROW(O$48),報告用!$AL$44:$AL$87,報告用!$G$44:$G$87,"",FALSE)</f>
        <v>森下計二</v>
      </c>
      <c r="P49" s="104" t="str">
        <f t="shared" si="8"/>
        <v>様</v>
      </c>
      <c r="Q49" s="55" t="str">
        <f>IF(_xlfn.XLOOKUP(ROW(Q49)-ROW(Q$48),報告用!$AL$44:$AL$87,報告用!$E$44:$E$87,"",FALSE)=N49,"",_xlfn.XLOOKUP(ROW(Q49)-ROW(Q$48),報告用!$AL$44:$AL$87,報告用!$E$44:$E$87,"",FALSE))</f>
        <v/>
      </c>
    </row>
    <row r="50" spans="1:17" ht="27" customHeight="1">
      <c r="A50" s="249"/>
      <c r="B50" s="141">
        <f>_xlfn.XLOOKUP(ROW(B50)-ROW(B$44),報告用!$AC$44:$AC$87,報告用!F$44:F$87,"",FALSE)</f>
        <v>7</v>
      </c>
      <c r="C50" s="54" t="str">
        <f>_xlfn.XLOOKUP(ROW(C50)-ROW(C$44),報告用!$AC$44:$AC$87,報告用!G$44:G$87,"",FALSE)</f>
        <v>★佐藤　光正</v>
      </c>
      <c r="D50" s="102" t="str">
        <f t="shared" si="9"/>
        <v>様</v>
      </c>
      <c r="E50" s="47" t="str">
        <f>IF(_xlfn.XLOOKUP(ROW(E50)-ROW(E$44),報告用!$AC$44:$AC$87,報告用!E$44:E$87,"",FALSE)=B50,"",_xlfn.XLOOKUP(ROW(E50)-ROW(E$44),報告用!$AC$44:$AC$87,報告用!E$44:E$87,"",FALSE))</f>
        <v/>
      </c>
      <c r="G50" s="249"/>
      <c r="H50" s="141">
        <f>_xlfn.XLOOKUP(ROW(H50)-ROW(H$48),報告用!$AK$44:$AK$87,報告用!$F$44:$F$87,"",FALSE)</f>
        <v>23</v>
      </c>
      <c r="I50" s="54" t="str">
        <f>_xlfn.XLOOKUP(ROW(I50)-ROW(I$48),報告用!$AK$44:$AK$87,報告用!$G$44:$G$87,"",FALSE)</f>
        <v>遠山　貞一</v>
      </c>
      <c r="J50" s="102" t="str">
        <f t="shared" si="7"/>
        <v>様</v>
      </c>
      <c r="K50" s="47" t="str">
        <f>IF(_xlfn.XLOOKUP(ROW(K50)-ROW(K$48),報告用!$AK$44:$AK$87,報告用!$E$44:$E$87,"",FALSE)=H50,"",_xlfn.XLOOKUP(ROW(K50)-ROW(K$48),報告用!$AK$44:$AK$87,報告用!$E$44:$E$87,"",FALSE))</f>
        <v/>
      </c>
      <c r="L50" s="77"/>
      <c r="M50" s="249"/>
      <c r="N50" s="141">
        <f>_xlfn.XLOOKUP(ROW(N50)-ROW(N$48),報告用!$AL$44:$AL$87,報告用!$F$44:$F$87,"",FALSE)</f>
        <v>23</v>
      </c>
      <c r="O50" s="54" t="str">
        <f>_xlfn.XLOOKUP(ROW(O50)-ROW(O$48),報告用!$AL$44:$AL$87,報告用!$G$44:$G$87,"",FALSE)</f>
        <v>遠山　貞一</v>
      </c>
      <c r="P50" s="102" t="str">
        <f t="shared" si="8"/>
        <v>様</v>
      </c>
      <c r="Q50" s="142" t="str">
        <f>IF(_xlfn.XLOOKUP(ROW(Q50)-ROW(Q$48),報告用!$AL$44:$AL$87,報告用!$E$44:$E$87,"",FALSE)=N50,"",_xlfn.XLOOKUP(ROW(Q50)-ROW(Q$48),報告用!$AL$44:$AL$87,報告用!$E$44:$E$87,"",FALSE))</f>
        <v/>
      </c>
    </row>
    <row r="51" spans="1:17" ht="27" customHeight="1">
      <c r="A51" s="249"/>
      <c r="B51" s="141" t="str">
        <f>_xlfn.XLOOKUP(ROW(B51)-ROW(B$44),報告用!$AC$44:$AC$87,報告用!F$44:F$87,"",FALSE)</f>
        <v/>
      </c>
      <c r="C51" s="54" t="str">
        <f>_xlfn.XLOOKUP(ROW(C51)-ROW(C$44),報告用!$AC$44:$AC$87,報告用!G$44:G$87,"",FALSE)</f>
        <v/>
      </c>
      <c r="D51" s="102" t="str">
        <f t="shared" si="9"/>
        <v/>
      </c>
      <c r="E51" s="47" t="str">
        <f>IF(_xlfn.XLOOKUP(ROW(E51)-ROW(E$44),報告用!$AC$44:$AC$87,報告用!E$44:E$87,"",FALSE)=B51,"",_xlfn.XLOOKUP(ROW(E51)-ROW(E$44),報告用!$AC$44:$AC$87,報告用!E$44:E$87,"",FALSE))</f>
        <v/>
      </c>
      <c r="G51" s="249"/>
      <c r="H51" s="141">
        <f>_xlfn.XLOOKUP(ROW(H51)-ROW(H$48),報告用!$AK$44:$AK$87,報告用!$F$44:$F$87,"",FALSE)</f>
        <v>25</v>
      </c>
      <c r="I51" s="54" t="str">
        <f>_xlfn.XLOOKUP(ROW(I51)-ROW(I$48),報告用!$AK$44:$AK$87,報告用!$G$44:$G$87,"",FALSE)</f>
        <v>千野　周恵</v>
      </c>
      <c r="J51" s="102" t="str">
        <f t="shared" si="7"/>
        <v>様</v>
      </c>
      <c r="K51" s="142" t="str">
        <f>IF(_xlfn.XLOOKUP(ROW(K51)-ROW(K$48),報告用!$AK$44:$AK$87,報告用!$E$44:$E$87,"",FALSE)=H51,"",_xlfn.XLOOKUP(ROW(K51)-ROW(K$48),報告用!$AK$44:$AK$87,報告用!$E$44:$E$87,"",FALSE))</f>
        <v/>
      </c>
      <c r="L51" s="77"/>
      <c r="M51" s="249"/>
      <c r="N51" s="141">
        <f>_xlfn.XLOOKUP(ROW(N51)-ROW(N$48),報告用!$AL$44:$AL$87,報告用!$F$44:$F$87,"",FALSE)</f>
        <v>25</v>
      </c>
      <c r="O51" s="54" t="str">
        <f>_xlfn.XLOOKUP(ROW(O51)-ROW(O$48),報告用!$AL$44:$AL$87,報告用!$G$44:$G$87,"",FALSE)</f>
        <v>千野　周恵</v>
      </c>
      <c r="P51" s="102" t="str">
        <f t="shared" si="8"/>
        <v>様</v>
      </c>
      <c r="Q51" s="142" t="str">
        <f>IF(_xlfn.XLOOKUP(ROW(Q51)-ROW(Q$48),報告用!$AL$44:$AL$87,報告用!$E$44:$E$87,"",FALSE)=N51,"",_xlfn.XLOOKUP(ROW(Q51)-ROW(Q$48),報告用!$AL$44:$AL$87,報告用!$E$44:$E$87,"",FALSE))</f>
        <v/>
      </c>
    </row>
    <row r="52" spans="1:17" ht="27" customHeight="1">
      <c r="A52" s="249"/>
      <c r="B52" s="141" t="str">
        <f>_xlfn.XLOOKUP(ROW(B52)-ROW(B$44),報告用!$AC$44:$AC$87,報告用!F$44:F$87,"",FALSE)</f>
        <v/>
      </c>
      <c r="C52" s="54" t="str">
        <f>_xlfn.XLOOKUP(ROW(C52)-ROW(C$44),報告用!$AC$44:$AC$87,報告用!G$44:G$87,"",FALSE)</f>
        <v/>
      </c>
      <c r="D52" s="102" t="str">
        <f t="shared" si="9"/>
        <v/>
      </c>
      <c r="E52" s="47" t="str">
        <f>IF(_xlfn.XLOOKUP(ROW(E52)-ROW(E$44),報告用!$AC$44:$AC$87,報告用!E$44:E$87,"",FALSE)=B52,"",_xlfn.XLOOKUP(ROW(E52)-ROW(E$44),報告用!$AC$44:$AC$87,報告用!E$44:E$87,"",FALSE))</f>
        <v/>
      </c>
      <c r="G52" s="249"/>
      <c r="H52" s="141">
        <f>_xlfn.XLOOKUP(ROW(H52)-ROW(H$48),報告用!$AK$44:$AK$87,報告用!$F$44:$F$87,"",FALSE)</f>
        <v>25</v>
      </c>
      <c r="I52" s="54" t="str">
        <f>_xlfn.XLOOKUP(ROW(I52)-ROW(I$48),報告用!$AK$44:$AK$87,報告用!$G$44:$G$87,"",FALSE)</f>
        <v>鈴木　賢浄</v>
      </c>
      <c r="J52" s="102" t="str">
        <f t="shared" si="7"/>
        <v>様</v>
      </c>
      <c r="K52" s="142" t="str">
        <f>IF(_xlfn.XLOOKUP(ROW(K52)-ROW(K$48),報告用!$AK$44:$AK$87,報告用!$E$44:$E$87,"",FALSE)=H52,"",_xlfn.XLOOKUP(ROW(K52)-ROW(K$48),報告用!$AK$44:$AK$87,報告用!$E$44:$E$87,"",FALSE))</f>
        <v/>
      </c>
      <c r="L52" s="77"/>
      <c r="M52" s="249"/>
      <c r="N52" s="141">
        <f>_xlfn.XLOOKUP(ROW(N52)-ROW(N$48),報告用!$AL$44:$AL$87,報告用!$F$44:$F$87,"",FALSE)</f>
        <v>25</v>
      </c>
      <c r="O52" s="54" t="str">
        <f>_xlfn.XLOOKUP(ROW(O52)-ROW(O$48),報告用!$AL$44:$AL$87,報告用!$G$44:$G$87,"",FALSE)</f>
        <v>鈴木　賢浄</v>
      </c>
      <c r="P52" s="102" t="str">
        <f t="shared" si="8"/>
        <v>様</v>
      </c>
      <c r="Q52" s="142" t="str">
        <f>IF(_xlfn.XLOOKUP(ROW(Q52)-ROW(Q$48),報告用!$AL$44:$AL$87,報告用!$E$44:$E$87,"",FALSE)=N52,"",_xlfn.XLOOKUP(ROW(Q52)-ROW(Q$48),報告用!$AL$44:$AL$87,報告用!$E$44:$E$87,"",FALSE))</f>
        <v/>
      </c>
    </row>
    <row r="53" spans="1:17" ht="27" customHeight="1">
      <c r="A53" s="249"/>
      <c r="B53" s="46" t="str">
        <f>_xlfn.XLOOKUP(ROW(B53)-ROW(B$44),報告用!$AC$44:$AC$87,報告用!F$44:F$87,"",FALSE)</f>
        <v/>
      </c>
      <c r="C53" s="54" t="str">
        <f>_xlfn.XLOOKUP(ROW(C53)-ROW(C$44),報告用!$AC$44:$AC$87,報告用!G$44:G$87,"",FALSE)</f>
        <v/>
      </c>
      <c r="D53" s="104" t="str">
        <f t="shared" si="9"/>
        <v/>
      </c>
      <c r="E53" s="47" t="str">
        <f>IF(_xlfn.XLOOKUP(ROW(E53)-ROW(E$44),報告用!$AC$44:$AC$87,報告用!E$44:E$87,"",FALSE)=B53,"",_xlfn.XLOOKUP(ROW(E53)-ROW(E$44),報告用!$AC$44:$AC$87,報告用!E$44:E$87,"",FALSE))</f>
        <v/>
      </c>
      <c r="G53" s="249"/>
      <c r="H53" s="141">
        <f>_xlfn.XLOOKUP(ROW(H53)-ROW(H$48),報告用!$AK$44:$AK$87,報告用!$F$44:$F$87,"",FALSE)</f>
        <v>25</v>
      </c>
      <c r="I53" s="54" t="str">
        <f>_xlfn.XLOOKUP(ROW(I53)-ROW(I$48),報告用!$AK$44:$AK$87,報告用!$G$44:$G$87,"",FALSE)</f>
        <v>渡邉　和洋</v>
      </c>
      <c r="J53" s="102" t="str">
        <f t="shared" si="7"/>
        <v>様</v>
      </c>
      <c r="K53" s="142" t="str">
        <f>IF(_xlfn.XLOOKUP(ROW(K53)-ROW(K$48),報告用!$AK$44:$AK$87,報告用!$E$44:$E$87,"",FALSE)=H53,"",_xlfn.XLOOKUP(ROW(K53)-ROW(K$48),報告用!$AK$44:$AK$87,報告用!$E$44:$E$87,"",FALSE))</f>
        <v/>
      </c>
      <c r="L53" s="77"/>
      <c r="M53" s="249"/>
      <c r="N53" s="141">
        <f>_xlfn.XLOOKUP(ROW(N53)-ROW(N$48),報告用!$AL$44:$AL$87,報告用!$F$44:$F$87,"",FALSE)</f>
        <v>25</v>
      </c>
      <c r="O53" s="54" t="str">
        <f>_xlfn.XLOOKUP(ROW(O53)-ROW(O$48),報告用!$AL$44:$AL$87,報告用!$G$44:$G$87,"",FALSE)</f>
        <v>渡邉　和洋</v>
      </c>
      <c r="P53" s="102" t="str">
        <f t="shared" si="8"/>
        <v>様</v>
      </c>
      <c r="Q53" s="142" t="str">
        <f>IF(_xlfn.XLOOKUP(ROW(Q53)-ROW(Q$48),報告用!$AL$44:$AL$87,報告用!$E$44:$E$87,"",FALSE)=N53,"",_xlfn.XLOOKUP(ROW(Q53)-ROW(Q$48),報告用!$AL$44:$AL$87,報告用!$E$44:$E$87,"",FALSE))</f>
        <v/>
      </c>
    </row>
    <row r="54" spans="1:17" ht="27" customHeight="1" thickBot="1">
      <c r="A54" s="261"/>
      <c r="B54" s="52" t="str">
        <f>_xlfn.XLOOKUP(ROW(B54)-ROW(B$44),報告用!$AC$44:$AC$87,報告用!F$44:F$87,"",FALSE)</f>
        <v/>
      </c>
      <c r="C54" s="51" t="str">
        <f>_xlfn.XLOOKUP(ROW(C54)-ROW(C$44),報告用!$AC$44:$AC$87,報告用!G$44:G$87,"",FALSE)</f>
        <v/>
      </c>
      <c r="D54" s="105" t="str">
        <f t="shared" si="9"/>
        <v/>
      </c>
      <c r="E54" s="53" t="str">
        <f>IF(_xlfn.XLOOKUP(ROW(E54)-ROW(E$44),報告用!$AC$44:$AC$87,報告用!E$44:E$87,"",FALSE)=B54,"",_xlfn.XLOOKUP(ROW(E54)-ROW(E$44),報告用!$AC$44:$AC$87,報告用!E$44:E$87,"",FALSE))</f>
        <v/>
      </c>
      <c r="G54" s="249"/>
      <c r="H54" s="141">
        <f>_xlfn.XLOOKUP(ROW(H54)-ROW(H$48),報告用!$AK$44:$AK$87,報告用!$F$44:$F$87,"",FALSE)</f>
        <v>25</v>
      </c>
      <c r="I54" s="54" t="str">
        <f>_xlfn.XLOOKUP(ROW(I54)-ROW(I$48),報告用!$AK$44:$AK$87,報告用!$G$44:$G$87,"",FALSE)</f>
        <v>内藤　範治</v>
      </c>
      <c r="J54" s="102" t="str">
        <f t="shared" si="7"/>
        <v>様</v>
      </c>
      <c r="K54" s="142">
        <f>IF(_xlfn.XLOOKUP(ROW(K54)-ROW(K$48),報告用!$AK$44:$AK$87,報告用!$E$44:$E$87,"",FALSE)=H54,"",_xlfn.XLOOKUP(ROW(K54)-ROW(K$48),報告用!$AK$44:$AK$87,報告用!$E$44:$E$87,"",FALSE))</f>
        <v>2</v>
      </c>
      <c r="L54" s="77"/>
      <c r="M54" s="249"/>
      <c r="N54" s="141">
        <f>_xlfn.XLOOKUP(ROW(N54)-ROW(N$48),報告用!$AL$44:$AL$87,報告用!$F$44:$F$87,"",FALSE)</f>
        <v>25</v>
      </c>
      <c r="O54" s="54" t="str">
        <f>_xlfn.XLOOKUP(ROW(O54)-ROW(O$48),報告用!$AL$44:$AL$87,報告用!$G$44:$G$87,"",FALSE)</f>
        <v>内藤　範治</v>
      </c>
      <c r="P54" s="102" t="str">
        <f t="shared" si="8"/>
        <v>様</v>
      </c>
      <c r="Q54" s="142">
        <f>IF(_xlfn.XLOOKUP(ROW(Q54)-ROW(Q$48),報告用!$AL$44:$AL$87,報告用!$E$44:$E$87,"",FALSE)=N54,"",_xlfn.XLOOKUP(ROW(Q54)-ROW(Q$48),報告用!$AL$44:$AL$87,報告用!$E$44:$E$87,"",FALSE))</f>
        <v>2</v>
      </c>
    </row>
    <row r="55" spans="1:17" ht="27" customHeight="1" thickTop="1">
      <c r="A55" s="259" t="s">
        <v>37</v>
      </c>
      <c r="B55" s="141">
        <f>_xlfn.XLOOKUP(ROW(B55)-ROW(B$54),報告用!$AD$44:$AD$87,報告用!F$44:F$87,"",FALSE)</f>
        <v>25</v>
      </c>
      <c r="C55" s="140" t="str">
        <f>_xlfn.XLOOKUP(ROW(C55)-ROW(C$54),報告用!$AD$44:$AD$87,報告用!G$44:G$87,"",FALSE)</f>
        <v>千野　周恵</v>
      </c>
      <c r="D55" s="101" t="str">
        <f t="shared" si="9"/>
        <v>様</v>
      </c>
      <c r="E55" s="143" t="str">
        <f>IF(_xlfn.XLOOKUP(ROW(E55)-ROW(E$54),報告用!$AD$44:$AD$87,報告用!E$44:E$87,"",FALSE)=B55,"",_xlfn.XLOOKUP(ROW(E55)-ROW(E$54),報告用!$AD$44:$AD$87,報告用!E$44:E$87,"",FALSE))</f>
        <v/>
      </c>
      <c r="G55" s="249"/>
      <c r="H55" s="141">
        <f>_xlfn.XLOOKUP(ROW(H55)-ROW(H$48),報告用!$AK$44:$AK$87,報告用!$F$44:$F$87,"",FALSE)</f>
        <v>1</v>
      </c>
      <c r="I55" s="54" t="str">
        <f>_xlfn.XLOOKUP(ROW(I55)-ROW(I$48),報告用!$AK$44:$AK$87,報告用!$G$44:$G$87,"",FALSE)</f>
        <v>笹本　定子</v>
      </c>
      <c r="J55" s="102" t="str">
        <f t="shared" si="7"/>
        <v>様</v>
      </c>
      <c r="K55" s="142" t="str">
        <f>IF(_xlfn.XLOOKUP(ROW(K55)-ROW(K$48),報告用!$AK$44:$AK$87,報告用!$E$44:$E$87,"",FALSE)=H55,"",_xlfn.XLOOKUP(ROW(K55)-ROW(K$48),報告用!$AK$44:$AK$87,報告用!$E$44:$E$87,"",FALSE))</f>
        <v/>
      </c>
      <c r="L55" s="77"/>
      <c r="M55" s="249"/>
      <c r="N55" s="141">
        <f>_xlfn.XLOOKUP(ROW(N55)-ROW(N$48),報告用!$AL$44:$AL$87,報告用!$F$44:$F$87,"",FALSE)</f>
        <v>1</v>
      </c>
      <c r="O55" s="54" t="str">
        <f>_xlfn.XLOOKUP(ROW(O55)-ROW(O$48),報告用!$AL$44:$AL$87,報告用!$G$44:$G$87,"",FALSE)</f>
        <v>太田　恵須子</v>
      </c>
      <c r="P55" s="102" t="str">
        <f t="shared" si="8"/>
        <v>様</v>
      </c>
      <c r="Q55" s="142" t="str">
        <f>IF(_xlfn.XLOOKUP(ROW(Q55)-ROW(Q$48),報告用!$AL$44:$AL$87,報告用!$E$44:$E$87,"",FALSE)=N55,"",_xlfn.XLOOKUP(ROW(Q55)-ROW(Q$48),報告用!$AL$44:$AL$87,報告用!$E$44:$E$87,"",FALSE))</f>
        <v/>
      </c>
    </row>
    <row r="56" spans="1:17" ht="27" customHeight="1">
      <c r="A56" s="259"/>
      <c r="B56" s="141">
        <f>_xlfn.XLOOKUP(ROW(B56)-ROW(B$54),報告用!$AD$44:$AD$87,報告用!F$44:F$87,"",FALSE)</f>
        <v>2</v>
      </c>
      <c r="C56" s="54" t="str">
        <f>_xlfn.XLOOKUP(ROW(C56)-ROW(C$54),報告用!$AD$44:$AD$87,報告用!G$44:G$87,"",FALSE)</f>
        <v>小林　登志子</v>
      </c>
      <c r="D56" s="102" t="str">
        <f t="shared" si="9"/>
        <v>様</v>
      </c>
      <c r="E56" s="144" t="str">
        <f>IF(_xlfn.XLOOKUP(ROW(E56)-ROW(E$54),報告用!$AD$44:$AD$87,報告用!E$44:E$87,"",FALSE)=B56,"",_xlfn.XLOOKUP(ROW(E56)-ROW(E$54),報告用!$AD$44:$AD$87,報告用!E$44:E$87,"",FALSE))</f>
        <v/>
      </c>
      <c r="G56" s="249"/>
      <c r="H56" s="141">
        <f>_xlfn.XLOOKUP(ROW(H56)-ROW(H$48),報告用!$AK$44:$AK$87,報告用!$F$44:$F$87,"",FALSE)</f>
        <v>3</v>
      </c>
      <c r="I56" s="54" t="str">
        <f>_xlfn.XLOOKUP(ROW(I56)-ROW(I$48),報告用!$AK$44:$AK$87,報告用!$G$44:$G$87,"",FALSE)</f>
        <v>大森　俊子</v>
      </c>
      <c r="J56" s="102" t="str">
        <f t="shared" si="7"/>
        <v>様</v>
      </c>
      <c r="K56" s="47" t="str">
        <f>IF(_xlfn.XLOOKUP(ROW(K56)-ROW(K$48),報告用!$AK$44:$AK$87,報告用!$E$44:$E$87,"",FALSE)=H56,"",_xlfn.XLOOKUP(ROW(K56)-ROW(K$48),報告用!$AK$44:$AK$87,報告用!$E$44:$E$87,"",FALSE))</f>
        <v/>
      </c>
      <c r="L56" s="77"/>
      <c r="M56" s="249"/>
      <c r="N56" s="141">
        <f>_xlfn.XLOOKUP(ROW(N56)-ROW(N$48),報告用!$AL$44:$AL$87,報告用!$F$44:$F$87,"",FALSE)</f>
        <v>1</v>
      </c>
      <c r="O56" s="54" t="str">
        <f>_xlfn.XLOOKUP(ROW(O56)-ROW(O$48),報告用!$AL$44:$AL$87,報告用!$G$44:$G$87,"",FALSE)</f>
        <v>笹本　定子</v>
      </c>
      <c r="P56" s="102" t="str">
        <f t="shared" si="8"/>
        <v>様</v>
      </c>
      <c r="Q56" s="142" t="str">
        <f>IF(_xlfn.XLOOKUP(ROW(Q56)-ROW(Q$48),報告用!$AL$44:$AL$87,報告用!$E$44:$E$87,"",FALSE)=N56,"",_xlfn.XLOOKUP(ROW(Q56)-ROW(Q$48),報告用!$AL$44:$AL$87,報告用!$E$44:$E$87,"",FALSE))</f>
        <v/>
      </c>
    </row>
    <row r="57" spans="1:17" ht="27" customHeight="1">
      <c r="A57" s="259"/>
      <c r="B57" s="141" t="str">
        <f>_xlfn.XLOOKUP(ROW(B57)-ROW(B$54),報告用!$AD$44:$AD$87,報告用!F$44:F$87,"",FALSE)</f>
        <v/>
      </c>
      <c r="C57" s="54" t="str">
        <f>_xlfn.XLOOKUP(ROW(C57)-ROW(C$54),報告用!$AD$44:$AD$87,報告用!G$44:G$87,"",FALSE)</f>
        <v/>
      </c>
      <c r="D57" s="102" t="str">
        <f t="shared" si="9"/>
        <v/>
      </c>
      <c r="E57" s="144" t="str">
        <f>IF(_xlfn.XLOOKUP(ROW(E57)-ROW(E$54),報告用!$AD$44:$AD$87,報告用!E$44:E$87,"",FALSE)=B57,"",_xlfn.XLOOKUP(ROW(E57)-ROW(E$54),報告用!$AD$44:$AD$87,報告用!E$44:E$87,"",FALSE))</f>
        <v/>
      </c>
      <c r="G57" s="249"/>
      <c r="H57" s="141">
        <f>_xlfn.XLOOKUP(ROW(H57)-ROW(H$48),報告用!$AK$44:$AK$87,報告用!$F$44:$F$87,"",FALSE)</f>
        <v>5</v>
      </c>
      <c r="I57" s="54" t="str">
        <f>_xlfn.XLOOKUP(ROW(I57)-ROW(I$48),報告用!$AK$44:$AK$87,報告用!$G$44:$G$87,"",FALSE)</f>
        <v>高田 保英</v>
      </c>
      <c r="J57" s="102" t="str">
        <f t="shared" si="7"/>
        <v>様</v>
      </c>
      <c r="K57" s="142">
        <f>IF(_xlfn.XLOOKUP(ROW(K57)-ROW(K$48),報告用!$AK$44:$AK$87,報告用!$E$44:$E$87,"",FALSE)=H57,"",_xlfn.XLOOKUP(ROW(K57)-ROW(K$48),報告用!$AK$44:$AK$87,報告用!$E$44:$E$87,"",FALSE))</f>
        <v>25</v>
      </c>
      <c r="L57" s="77"/>
      <c r="M57" s="249"/>
      <c r="N57" s="141">
        <f>_xlfn.XLOOKUP(ROW(N57)-ROW(N$48),報告用!$AL$44:$AL$87,報告用!$F$44:$F$87,"",FALSE)</f>
        <v>5</v>
      </c>
      <c r="O57" s="54" t="str">
        <f>_xlfn.XLOOKUP(ROW(O57)-ROW(O$48),報告用!$AL$44:$AL$87,報告用!$G$44:$G$87,"",FALSE)</f>
        <v>高田 保英</v>
      </c>
      <c r="P57" s="102" t="str">
        <f t="shared" si="8"/>
        <v>様</v>
      </c>
      <c r="Q57" s="142">
        <f>IF(_xlfn.XLOOKUP(ROW(Q57)-ROW(Q$48),報告用!$AL$44:$AL$87,報告用!$E$44:$E$87,"",FALSE)=N57,"",_xlfn.XLOOKUP(ROW(Q57)-ROW(Q$48),報告用!$AL$44:$AL$87,報告用!$E$44:$E$87,"",FALSE))</f>
        <v>25</v>
      </c>
    </row>
    <row r="58" spans="1:17" ht="27" customHeight="1">
      <c r="A58" s="259"/>
      <c r="B58" s="141" t="str">
        <f>_xlfn.XLOOKUP(ROW(B58)-ROW(B$54),報告用!$AD$44:$AD$87,報告用!F$44:F$87,"",FALSE)</f>
        <v/>
      </c>
      <c r="C58" s="54" t="str">
        <f>_xlfn.XLOOKUP(ROW(C58)-ROW(C$54),報告用!$AD$44:$AD$87,報告用!G$44:G$87,"",FALSE)</f>
        <v/>
      </c>
      <c r="D58" s="102" t="str">
        <f t="shared" si="9"/>
        <v/>
      </c>
      <c r="E58" s="144" t="str">
        <f>IF(_xlfn.XLOOKUP(ROW(E58)-ROW(E$54),報告用!$AD$44:$AD$87,報告用!E$44:E$87,"",FALSE)=B58,"",_xlfn.XLOOKUP(ROW(E58)-ROW(E$54),報告用!$AD$44:$AD$87,報告用!E$44:E$87,"",FALSE))</f>
        <v/>
      </c>
      <c r="G58" s="249"/>
      <c r="H58" s="141">
        <f>_xlfn.XLOOKUP(ROW(H58)-ROW(H$48),報告用!$AK$44:$AK$87,報告用!$F$44:$F$87,"",FALSE)</f>
        <v>6</v>
      </c>
      <c r="I58" s="54" t="str">
        <f>_xlfn.XLOOKUP(ROW(I58)-ROW(I$48),報告用!$AK$44:$AK$87,報告用!$G$44:$G$87,"",FALSE)</f>
        <v>フジイロザスミコ</v>
      </c>
      <c r="J58" s="102" t="str">
        <f t="shared" si="7"/>
        <v>様</v>
      </c>
      <c r="K58" s="142" t="str">
        <f>IF(_xlfn.XLOOKUP(ROW(K58)-ROW(K$48),報告用!$AK$44:$AK$87,報告用!$E$44:$E$87,"",FALSE)=H58,"",_xlfn.XLOOKUP(ROW(K58)-ROW(K$48),報告用!$AK$44:$AK$87,報告用!$E$44:$E$87,"",FALSE))</f>
        <v/>
      </c>
      <c r="L58" s="77"/>
      <c r="M58" s="249"/>
      <c r="N58" s="141">
        <f>_xlfn.XLOOKUP(ROW(N58)-ROW(N$48),報告用!$AL$44:$AL$87,報告用!$F$44:$F$87,"",FALSE)</f>
        <v>6</v>
      </c>
      <c r="O58" s="54" t="str">
        <f>_xlfn.XLOOKUP(ROW(O58)-ROW(O$48),報告用!$AL$44:$AL$87,報告用!$G$44:$G$87,"",FALSE)</f>
        <v>フジイロザスミコ</v>
      </c>
      <c r="P58" s="102" t="str">
        <f t="shared" si="8"/>
        <v>様</v>
      </c>
      <c r="Q58" s="142" t="str">
        <f>IF(_xlfn.XLOOKUP(ROW(Q58)-ROW(Q$48),報告用!$AL$44:$AL$87,報告用!$E$44:$E$87,"",FALSE)=N58,"",_xlfn.XLOOKUP(ROW(Q58)-ROW(Q$48),報告用!$AL$44:$AL$87,報告用!$E$44:$E$87,"",FALSE))</f>
        <v/>
      </c>
    </row>
    <row r="59" spans="1:17" ht="27" customHeight="1">
      <c r="A59" s="259"/>
      <c r="B59" s="147" t="str">
        <f>_xlfn.XLOOKUP(ROW(B59)-ROW(B$54),報告用!$AD$44:$AD$87,報告用!F$44:F$87,"",FALSE)</f>
        <v/>
      </c>
      <c r="C59" s="54" t="str">
        <f>_xlfn.XLOOKUP(ROW(C59)-ROW(C$54),報告用!$AD$44:$AD$87,報告用!G$44:G$87,"",FALSE)</f>
        <v/>
      </c>
      <c r="D59" s="102" t="str">
        <f t="shared" si="9"/>
        <v/>
      </c>
      <c r="E59" s="144" t="str">
        <f>IF(_xlfn.XLOOKUP(ROW(E59)-ROW(E$54),報告用!$AD$44:$AD$87,報告用!E$44:E$87,"",FALSE)=B59,"",_xlfn.XLOOKUP(ROW(E59)-ROW(E$54),報告用!$AD$44:$AD$87,報告用!E$44:E$87,"",FALSE))</f>
        <v/>
      </c>
      <c r="G59" s="249"/>
      <c r="H59" s="141">
        <f>_xlfn.XLOOKUP(ROW(H59)-ROW(H$48),報告用!$AK$44:$AK$87,報告用!$F$44:$F$87,"",FALSE)</f>
        <v>6</v>
      </c>
      <c r="I59" s="54" t="str">
        <f>_xlfn.XLOOKUP(ROW(I59)-ROW(I$48),報告用!$AK$44:$AK$87,報告用!$G$44:$G$87,"",FALSE)</f>
        <v>一瀨　好恵</v>
      </c>
      <c r="J59" s="102" t="str">
        <f t="shared" si="7"/>
        <v>様</v>
      </c>
      <c r="K59" s="47">
        <f>IF(_xlfn.XLOOKUP(ROW(K59)-ROW(K$48),報告用!$AK$44:$AK$87,報告用!$E$44:$E$87,"",FALSE)=H59,"",_xlfn.XLOOKUP(ROW(K59)-ROW(K$48),報告用!$AK$44:$AK$87,報告用!$E$44:$E$87,"",FALSE))</f>
        <v>5</v>
      </c>
      <c r="L59" s="77"/>
      <c r="M59" s="249"/>
      <c r="N59" s="141">
        <f>_xlfn.XLOOKUP(ROW(N59)-ROW(N$48),報告用!$AL$44:$AL$87,報告用!$F$44:$F$87,"",FALSE)</f>
        <v>6</v>
      </c>
      <c r="O59" s="54" t="str">
        <f>_xlfn.XLOOKUP(ROW(O59)-ROW(O$48),報告用!$AL$44:$AL$87,報告用!$G$44:$G$87,"",FALSE)</f>
        <v>一瀨　好恵</v>
      </c>
      <c r="P59" s="102" t="str">
        <f t="shared" si="8"/>
        <v>様</v>
      </c>
      <c r="Q59" s="47">
        <f>IF(_xlfn.XLOOKUP(ROW(Q59)-ROW(Q$48),報告用!$AL$44:$AL$87,報告用!$E$44:$E$87,"",FALSE)=N59,"",_xlfn.XLOOKUP(ROW(Q59)-ROW(Q$48),報告用!$AL$44:$AL$87,報告用!$E$44:$E$87,"",FALSE))</f>
        <v>5</v>
      </c>
    </row>
    <row r="60" spans="1:17" ht="27" customHeight="1" thickBot="1">
      <c r="A60" s="260"/>
      <c r="B60" s="145" t="str">
        <f>_xlfn.XLOOKUP(ROW(B60)-ROW(B$54),報告用!$AD$44:$AD$87,報告用!F$44:F$87,"",FALSE)</f>
        <v/>
      </c>
      <c r="C60" s="64" t="str">
        <f>_xlfn.XLOOKUP(ROW(C60)-ROW(C$54),報告用!$AD$44:$AD$87,報告用!G$44:G$87,"",FALSE)</f>
        <v/>
      </c>
      <c r="D60" s="106" t="str">
        <f t="shared" si="9"/>
        <v/>
      </c>
      <c r="E60" s="146" t="str">
        <f>IF(_xlfn.XLOOKUP(ROW(E60)-ROW(E$54),報告用!$AD$44:$AD$87,報告用!E$44:E$87,"",FALSE)=B60,"",_xlfn.XLOOKUP(ROW(E60)-ROW(E$54),報告用!$AD$44:$AD$87,報告用!E$44:E$87,"",FALSE))</f>
        <v/>
      </c>
      <c r="G60" s="250"/>
      <c r="H60" s="56">
        <f>_xlfn.XLOOKUP(ROW(H60)-ROW(H$48),報告用!$AK$44:$AK$87,報告用!$F$44:$F$87,"",FALSE)</f>
        <v>7</v>
      </c>
      <c r="I60" s="64" t="str">
        <f>_xlfn.XLOOKUP(ROW(I60)-ROW(I$48),報告用!$AK$44:$AK$87,報告用!$G$44:$G$87,"",FALSE)</f>
        <v>佐藤　光正</v>
      </c>
      <c r="J60" s="106" t="str">
        <f t="shared" si="7"/>
        <v>様</v>
      </c>
      <c r="K60" s="57" t="str">
        <f>IF(_xlfn.XLOOKUP(ROW(K60)-ROW(K$48),報告用!$AK$44:$AK$87,報告用!$E$44:$E$87,"",FALSE)=H60,"",_xlfn.XLOOKUP(ROW(K60)-ROW(K$48),報告用!$AK$44:$AK$87,報告用!$E$44:$E$87,"",FALSE))</f>
        <v/>
      </c>
      <c r="L60" s="77"/>
      <c r="M60" s="250"/>
      <c r="N60" s="56">
        <f>_xlfn.XLOOKUP(ROW(N60)-ROW(N$48),報告用!$AL$44:$AL$87,報告用!$F$44:$F$87,"",FALSE)</f>
        <v>7</v>
      </c>
      <c r="O60" s="64" t="str">
        <f>_xlfn.XLOOKUP(ROW(O60)-ROW(O$48),報告用!$AL$44:$AL$87,報告用!$G$44:$G$87,"",FALSE)</f>
        <v>佐藤　光正</v>
      </c>
      <c r="P60" s="106" t="str">
        <f t="shared" si="8"/>
        <v>様</v>
      </c>
      <c r="Q60" s="57" t="str">
        <f>IF(_xlfn.XLOOKUP(ROW(Q60)-ROW(Q$48),報告用!$AL$44:$AL$87,報告用!$E$44:$E$87,"",FALSE)=N60,"",_xlfn.XLOOKUP(ROW(Q60)-ROW(Q$48),報告用!$AL$44:$AL$87,報告用!$E$44:$E$87,"",FALSE))</f>
        <v/>
      </c>
    </row>
    <row r="61" spans="1:17" ht="27" customHeight="1">
      <c r="A61" s="75"/>
      <c r="B61" s="75"/>
      <c r="C61" s="75"/>
      <c r="D61" s="75"/>
      <c r="E61" s="75"/>
      <c r="F61" s="75"/>
      <c r="G61" s="233" t="s">
        <v>41</v>
      </c>
      <c r="H61" s="233"/>
      <c r="I61" s="233"/>
      <c r="J61" s="233"/>
      <c r="K61" s="233"/>
      <c r="L61" s="75"/>
      <c r="M61" s="75"/>
      <c r="N61" s="75"/>
      <c r="O61" s="75"/>
      <c r="P61" s="75"/>
      <c r="Q61" s="75"/>
    </row>
    <row r="62" spans="1:17" ht="27" customHeight="1" thickBot="1">
      <c r="A62" s="256"/>
      <c r="B62" s="256"/>
      <c r="C62" s="256"/>
      <c r="D62" s="256"/>
      <c r="E62" s="256"/>
      <c r="F62" s="75"/>
      <c r="G62" s="255"/>
      <c r="H62" s="255"/>
      <c r="I62" s="255"/>
      <c r="J62" s="255"/>
      <c r="K62" s="255"/>
      <c r="L62" s="75"/>
      <c r="M62" s="257">
        <f>報告用!$O$2</f>
        <v>46106</v>
      </c>
      <c r="N62" s="257"/>
      <c r="O62" s="257"/>
      <c r="P62" s="257"/>
      <c r="Q62" s="257"/>
    </row>
    <row r="63" spans="1:17" ht="27" customHeight="1">
      <c r="A63" s="258" t="s">
        <v>31</v>
      </c>
      <c r="B63" s="251" t="s">
        <v>38</v>
      </c>
      <c r="C63" s="251"/>
      <c r="D63" s="251"/>
      <c r="E63" s="252"/>
      <c r="G63" s="258" t="s">
        <v>31</v>
      </c>
      <c r="H63" s="251" t="s">
        <v>39</v>
      </c>
      <c r="I63" s="251"/>
      <c r="J63" s="251"/>
      <c r="K63" s="252"/>
      <c r="L63" s="77"/>
      <c r="M63" s="258" t="s">
        <v>31</v>
      </c>
      <c r="N63" s="251" t="s">
        <v>22</v>
      </c>
      <c r="O63" s="251"/>
      <c r="P63" s="251"/>
      <c r="Q63" s="252"/>
    </row>
    <row r="64" spans="1:17" ht="27" customHeight="1" thickBot="1">
      <c r="A64" s="247"/>
      <c r="B64" s="78" t="s">
        <v>18</v>
      </c>
      <c r="C64" s="253" t="s">
        <v>17</v>
      </c>
      <c r="D64" s="254"/>
      <c r="E64" s="79" t="s">
        <v>30</v>
      </c>
      <c r="G64" s="247"/>
      <c r="H64" s="78" t="s">
        <v>18</v>
      </c>
      <c r="I64" s="253" t="s">
        <v>17</v>
      </c>
      <c r="J64" s="254"/>
      <c r="K64" s="79" t="s">
        <v>30</v>
      </c>
      <c r="L64" s="77"/>
      <c r="M64" s="247"/>
      <c r="N64" s="78" t="s">
        <v>18</v>
      </c>
      <c r="O64" s="253" t="s">
        <v>17</v>
      </c>
      <c r="P64" s="254"/>
      <c r="Q64" s="79" t="s">
        <v>30</v>
      </c>
    </row>
    <row r="65" spans="1:17" ht="27" customHeight="1" thickTop="1">
      <c r="A65" s="245" t="s">
        <v>35</v>
      </c>
      <c r="B65" s="49">
        <f>_xlfn.XLOOKUP(ROW(B65)-ROW(B$64),報告用!$AH$44:$AH$87,報告用!$F$44:$F$87,"",FALSE)</f>
        <v>22</v>
      </c>
      <c r="C65" s="48" t="str">
        <f>_xlfn.XLOOKUP(ROW(C65)-ROW(C$64),報告用!$AH$44:$AH$87,報告用!$G$44:$G$87,"",FALSE)</f>
        <v>丸山　由美子</v>
      </c>
      <c r="D65" s="101" t="str">
        <f t="shared" ref="D65:D80" si="10">IF(C65="","","様")</f>
        <v>様</v>
      </c>
      <c r="E65" s="50" t="str">
        <f>IF(_xlfn.XLOOKUP(ROW(E65)-ROW(E$64),報告用!$AH$44:$AH$87,報告用!$E$44:$E$87,"",FALSE)=B65,"",_xlfn.XLOOKUP(ROW(E65)-ROW(E$64),報告用!$AH$44:$AH$87,報告用!$E$44:$E$87,"",FALSE))</f>
        <v/>
      </c>
      <c r="G65" s="245" t="s">
        <v>35</v>
      </c>
      <c r="H65" s="49">
        <f>_xlfn.XLOOKUP(ROW(H65)-ROW(H$64),報告用!$AI$44:$AI$87,報告用!$F$44:$F$87,"",FALSE)</f>
        <v>22</v>
      </c>
      <c r="I65" s="48" t="str">
        <f>_xlfn.XLOOKUP(ROW(I65)-ROW(I$64),報告用!$AI$44:$AI$87,報告用!$G$44:$G$87,"",FALSE)</f>
        <v>丸山　由美子</v>
      </c>
      <c r="J65" s="101" t="str">
        <f t="shared" ref="J65:J80" si="11">IF(I65="","","様")</f>
        <v>様</v>
      </c>
      <c r="K65" s="50" t="str">
        <f>IF(_xlfn.XLOOKUP(ROW(K65)-ROW(K$64),報告用!$AI$44:$AI$87,報告用!$E$44:$E$87,"",FALSE)=H65,"",_xlfn.XLOOKUP(ROW(K65)-ROW(K$64),報告用!$AI$44:$AI$87,報告用!$E$44:$E$87,"",FALSE))</f>
        <v/>
      </c>
      <c r="L65" s="77"/>
      <c r="M65" s="245" t="s">
        <v>35</v>
      </c>
      <c r="N65" s="49">
        <f>_xlfn.XLOOKUP(ROW(N65)-ROW(N$64),報告用!$AJ$44:$AJ$87,報告用!$F$44:$F$87,"",FALSE)</f>
        <v>22</v>
      </c>
      <c r="O65" s="48" t="str">
        <f>_xlfn.XLOOKUP(ROW(O65)-ROW(O$64),報告用!$AJ$44:$AJ$87,報告用!$G$44:$G$87,"",FALSE)</f>
        <v>丸山　由美子</v>
      </c>
      <c r="P65" s="101" t="str">
        <f t="shared" ref="P65:P80" si="12">IF(O65="","","様")</f>
        <v>様</v>
      </c>
      <c r="Q65" s="50" t="str">
        <f>IF(_xlfn.XLOOKUP(ROW(Q65)-ROW(Q$64),報告用!$AJ$44:$AJ$87,報告用!$E$44:$E$87,"",FALSE)=N65,"",_xlfn.XLOOKUP(ROW(Q65)-ROW(Q$64),報告用!$AJ$44:$AJ$87,報告用!$E$44:$E$87,"",FALSE))</f>
        <v/>
      </c>
    </row>
    <row r="66" spans="1:17" ht="27" customHeight="1">
      <c r="A66" s="246"/>
      <c r="B66" s="46">
        <f>_xlfn.XLOOKUP(ROW(B66)-ROW(B$64),報告用!$AH$44:$AH$87,報告用!$F$44:$F$87,"",FALSE)</f>
        <v>23</v>
      </c>
      <c r="C66" s="54" t="str">
        <f>_xlfn.XLOOKUP(ROW(C66)-ROW(C$64),報告用!$AH$44:$AH$87,報告用!$G$44:$G$87,"",FALSE)</f>
        <v>森下計二</v>
      </c>
      <c r="D66" s="102" t="str">
        <f t="shared" si="10"/>
        <v>様</v>
      </c>
      <c r="E66" s="47" t="str">
        <f>IF(_xlfn.XLOOKUP(ROW(E66)-ROW(E$64),報告用!$AH$44:$AH$87,報告用!$E$44:$E$87,"",FALSE)=B66,"",_xlfn.XLOOKUP(ROW(E66)-ROW(E$64),報告用!$AH$44:$AH$87,報告用!$E$44:$E$87,"",FALSE))</f>
        <v/>
      </c>
      <c r="G66" s="246"/>
      <c r="H66" s="46">
        <f>_xlfn.XLOOKUP(ROW(H66)-ROW(H$64),報告用!$AI$44:$AI$87,報告用!$F$44:$F$87,"",FALSE)</f>
        <v>23</v>
      </c>
      <c r="I66" s="54" t="str">
        <f>_xlfn.XLOOKUP(ROW(I66)-ROW(I$64),報告用!$AI$44:$AI$87,報告用!$G$44:$G$87,"",FALSE)</f>
        <v>森下計二</v>
      </c>
      <c r="J66" s="102" t="str">
        <f t="shared" si="11"/>
        <v>様</v>
      </c>
      <c r="K66" s="47" t="str">
        <f>IF(_xlfn.XLOOKUP(ROW(K66)-ROW(K$64),報告用!$AI$44:$AI$87,報告用!$E$44:$E$87,"",FALSE)=H66,"",_xlfn.XLOOKUP(ROW(K66)-ROW(K$64),報告用!$AI$44:$AI$87,報告用!$E$44:$E$87,"",FALSE))</f>
        <v/>
      </c>
      <c r="L66" s="77"/>
      <c r="M66" s="246"/>
      <c r="N66" s="46">
        <f>_xlfn.XLOOKUP(ROW(N66)-ROW(N$64),報告用!$AJ$44:$AJ$87,報告用!$F$44:$F$87,"",FALSE)</f>
        <v>23</v>
      </c>
      <c r="O66" s="54" t="str">
        <f>_xlfn.XLOOKUP(ROW(O66)-ROW(O$64),報告用!$AJ$44:$AJ$87,報告用!$G$44:$G$87,"",FALSE)</f>
        <v>森下計二</v>
      </c>
      <c r="P66" s="102" t="str">
        <f t="shared" si="12"/>
        <v>様</v>
      </c>
      <c r="Q66" s="47" t="str">
        <f>IF(_xlfn.XLOOKUP(ROW(Q66)-ROW(Q$64),報告用!$AJ$44:$AJ$87,報告用!$E$44:$E$87,"",FALSE)=N66,"",_xlfn.XLOOKUP(ROW(Q66)-ROW(Q$64),報告用!$AJ$44:$AJ$87,報告用!$E$44:$E$87,"",FALSE))</f>
        <v/>
      </c>
    </row>
    <row r="67" spans="1:17" ht="27" customHeight="1">
      <c r="A67" s="246"/>
      <c r="B67" s="46">
        <f>_xlfn.XLOOKUP(ROW(B67)-ROW(B$64),報告用!$AH$44:$AH$87,報告用!$F$44:$F$87,"",FALSE)</f>
        <v>25</v>
      </c>
      <c r="C67" s="54" t="str">
        <f>_xlfn.XLOOKUP(ROW(C67)-ROW(C$64),報告用!$AH$44:$AH$87,報告用!$G$44:$G$87,"",FALSE)</f>
        <v>鈴木　賢浄</v>
      </c>
      <c r="D67" s="102" t="str">
        <f t="shared" si="10"/>
        <v>様</v>
      </c>
      <c r="E67" s="47" t="str">
        <f>IF(_xlfn.XLOOKUP(ROW(E67)-ROW(E$64),報告用!$AH$44:$AH$87,報告用!$E$44:$E$87,"",FALSE)=B67,"",_xlfn.XLOOKUP(ROW(E67)-ROW(E$64),報告用!$AH$44:$AH$87,報告用!$E$44:$E$87,"",FALSE))</f>
        <v/>
      </c>
      <c r="G67" s="246"/>
      <c r="H67" s="46">
        <f>_xlfn.XLOOKUP(ROW(H67)-ROW(H$64),報告用!$AI$44:$AI$87,報告用!$F$44:$F$87,"",FALSE)</f>
        <v>25</v>
      </c>
      <c r="I67" s="54" t="str">
        <f>_xlfn.XLOOKUP(ROW(I67)-ROW(I$64),報告用!$AI$44:$AI$87,報告用!$G$44:$G$87,"",FALSE)</f>
        <v>鈴木　賢浄</v>
      </c>
      <c r="J67" s="102" t="str">
        <f t="shared" si="11"/>
        <v>様</v>
      </c>
      <c r="K67" s="47" t="str">
        <f>IF(_xlfn.XLOOKUP(ROW(K67)-ROW(K$64),報告用!$AI$44:$AI$87,報告用!$E$44:$E$87,"",FALSE)=H67,"",_xlfn.XLOOKUP(ROW(K67)-ROW(K$64),報告用!$AI$44:$AI$87,報告用!$E$44:$E$87,"",FALSE))</f>
        <v/>
      </c>
      <c r="L67" s="77"/>
      <c r="M67" s="246"/>
      <c r="N67" s="46">
        <f>_xlfn.XLOOKUP(ROW(N67)-ROW(N$64),報告用!$AJ$44:$AJ$87,報告用!$F$44:$F$87,"",FALSE)</f>
        <v>25</v>
      </c>
      <c r="O67" s="54" t="str">
        <f>_xlfn.XLOOKUP(ROW(O67)-ROW(O$64),報告用!$AJ$44:$AJ$87,報告用!$G$44:$G$87,"",FALSE)</f>
        <v>鈴木　賢浄</v>
      </c>
      <c r="P67" s="102" t="str">
        <f t="shared" si="12"/>
        <v>様</v>
      </c>
      <c r="Q67" s="47" t="str">
        <f>IF(_xlfn.XLOOKUP(ROW(Q67)-ROW(Q$64),報告用!$AJ$44:$AJ$87,報告用!$E$44:$E$87,"",FALSE)=N67,"",_xlfn.XLOOKUP(ROW(Q67)-ROW(Q$64),報告用!$AJ$44:$AJ$87,報告用!$E$44:$E$87,"",FALSE))</f>
        <v/>
      </c>
    </row>
    <row r="68" spans="1:17" ht="27" customHeight="1" thickBot="1">
      <c r="A68" s="247"/>
      <c r="B68" s="52">
        <f>_xlfn.XLOOKUP(ROW(B68)-ROW(B$64),報告用!$AH$44:$AH$87,報告用!$F$44:$F$87,"",FALSE)</f>
        <v>1</v>
      </c>
      <c r="C68" s="51" t="str">
        <f>_xlfn.XLOOKUP(ROW(C68)-ROW(C$64),報告用!$AH$44:$AH$87,報告用!$G$44:$G$87,"",FALSE)</f>
        <v>笹本　定子</v>
      </c>
      <c r="D68" s="103" t="str">
        <f t="shared" si="10"/>
        <v>様</v>
      </c>
      <c r="E68" s="53" t="str">
        <f>IF(_xlfn.XLOOKUP(ROW(E68)-ROW(E$64),報告用!$AH$44:$AH$87,報告用!$E$44:$E$87,"",FALSE)=B68,"",_xlfn.XLOOKUP(ROW(E68)-ROW(E$64),報告用!$AH$44:$AH$87,報告用!$E$44:$E$87,"",FALSE))</f>
        <v/>
      </c>
      <c r="G68" s="247"/>
      <c r="H68" s="52">
        <f>_xlfn.XLOOKUP(ROW(H68)-ROW(H$64),報告用!$AI$44:$AI$87,報告用!$F$44:$F$87,"",FALSE)</f>
        <v>1</v>
      </c>
      <c r="I68" s="51" t="str">
        <f>_xlfn.XLOOKUP(ROW(I68)-ROW(I$64),報告用!$AI$44:$AI$87,報告用!$G$44:$G$87,"",FALSE)</f>
        <v>笹本　定子</v>
      </c>
      <c r="J68" s="103" t="str">
        <f t="shared" si="11"/>
        <v>様</v>
      </c>
      <c r="K68" s="53" t="str">
        <f>IF(_xlfn.XLOOKUP(ROW(K68)-ROW(K$64),報告用!$AI$44:$AI$87,報告用!$E$44:$E$87,"",FALSE)=H68,"",_xlfn.XLOOKUP(ROW(K68)-ROW(K$64),報告用!$AI$44:$AI$87,報告用!$E$44:$E$87,"",FALSE))</f>
        <v/>
      </c>
      <c r="L68" s="77"/>
      <c r="M68" s="247"/>
      <c r="N68" s="52">
        <f>_xlfn.XLOOKUP(ROW(N68)-ROW(N$64),報告用!$AJ$44:$AJ$87,報告用!$F$44:$F$87,"",FALSE)</f>
        <v>1</v>
      </c>
      <c r="O68" s="51" t="str">
        <f>_xlfn.XLOOKUP(ROW(O68)-ROW(O$64),報告用!$AJ$44:$AJ$87,報告用!$G$44:$G$87,"",FALSE)</f>
        <v>笹本　定子</v>
      </c>
      <c r="P68" s="103" t="str">
        <f t="shared" si="12"/>
        <v>様</v>
      </c>
      <c r="Q68" s="53" t="str">
        <f>IF(_xlfn.XLOOKUP(ROW(Q68)-ROW(Q$64),報告用!$AJ$44:$AJ$87,報告用!$E$44:$E$87,"",FALSE)=N68,"",_xlfn.XLOOKUP(ROW(Q68)-ROW(Q$64),報告用!$AJ$44:$AJ$87,報告用!$E$44:$E$87,"",FALSE))</f>
        <v/>
      </c>
    </row>
    <row r="69" spans="1:17" ht="27" customHeight="1" thickTop="1">
      <c r="A69" s="248" t="s">
        <v>25</v>
      </c>
      <c r="B69" s="141">
        <f>_xlfn.XLOOKUP(ROW(B69)-ROW(B$68),報告用!$AM$44:$AM$87,報告用!$F$44:$F$87,"",FALSE)</f>
        <v>23</v>
      </c>
      <c r="C69" s="54" t="str">
        <f>_xlfn.XLOOKUP(ROW(C69)-ROW(C$68),報告用!$AM$44:$AM$87,報告用!$G$44:$G$87,"",FALSE)</f>
        <v>森下計二</v>
      </c>
      <c r="D69" s="104" t="str">
        <f t="shared" si="10"/>
        <v>様</v>
      </c>
      <c r="E69" s="55" t="str">
        <f>IF(_xlfn.XLOOKUP(ROW(E69)-ROW(E$68),報告用!$AM$44:$AM$87,報告用!$E$44:$E$87,"",FALSE)=B69,"",_xlfn.XLOOKUP(ROW(E69)-ROW(E$68),報告用!$AM$44:$AM$87,報告用!$E$44:$E$87,"",FALSE))</f>
        <v/>
      </c>
      <c r="G69" s="249" t="s">
        <v>25</v>
      </c>
      <c r="H69" s="141">
        <f>_xlfn.XLOOKUP(ROW(H69)-ROW(H$68),報告用!$AN$44:$AN$87,報告用!$F$44:$F$87,"",FALSE)</f>
        <v>23</v>
      </c>
      <c r="I69" s="54" t="str">
        <f>_xlfn.XLOOKUP(ROW(I69)-ROW(I$68),報告用!$AN$44:$AN$87,報告用!$G$44:$G$87,"",FALSE)</f>
        <v>森下計二</v>
      </c>
      <c r="J69" s="104" t="str">
        <f t="shared" si="11"/>
        <v>様</v>
      </c>
      <c r="K69" s="55" t="str">
        <f>IF(_xlfn.XLOOKUP(ROW(K69)-ROW(K$68),報告用!$AN$44:$AN$87,報告用!$E$44:$E$87,"",FALSE)=H69,"",_xlfn.XLOOKUP(ROW(K69)-ROW(K$68),報告用!$AN$44:$AN$87,報告用!$E$44:$E$87,"",FALSE))</f>
        <v/>
      </c>
      <c r="L69" s="77"/>
      <c r="M69" s="249" t="s">
        <v>25</v>
      </c>
      <c r="N69" s="141">
        <f>_xlfn.XLOOKUP(ROW(N69)-ROW(N$68),報告用!$AO$44:$AO$87,報告用!$F$44:$F$87,"",FALSE)</f>
        <v>23</v>
      </c>
      <c r="O69" s="54" t="str">
        <f>_xlfn.XLOOKUP(ROW(O69)-ROW(O$68),報告用!$AO$44:$AO$87,報告用!$G$44:$G$87,"",FALSE)</f>
        <v>森下計二</v>
      </c>
      <c r="P69" s="104" t="str">
        <f t="shared" si="12"/>
        <v>様</v>
      </c>
      <c r="Q69" s="55" t="str">
        <f>IF(_xlfn.XLOOKUP(ROW(Q69)-ROW(Q$68),報告用!$AO$44:$AO$87,報告用!$E$44:$E$87,"",FALSE)=N69,"",_xlfn.XLOOKUP(ROW(Q69)-ROW(Q$68),報告用!$AO$44:$AO$87,報告用!$E$44:$E$87,"",FALSE))</f>
        <v/>
      </c>
    </row>
    <row r="70" spans="1:17" ht="27" customHeight="1">
      <c r="A70" s="249"/>
      <c r="B70" s="141">
        <f>_xlfn.XLOOKUP(ROW(B70)-ROW(B$68),報告用!$AM$44:$AM$87,報告用!$F$44:$F$87,"",FALSE)</f>
        <v>23</v>
      </c>
      <c r="C70" s="54" t="str">
        <f>_xlfn.XLOOKUP(ROW(C70)-ROW(C$68),報告用!$AM$44:$AM$87,報告用!$G$44:$G$87,"",FALSE)</f>
        <v>遠山　貞一</v>
      </c>
      <c r="D70" s="102" t="str">
        <f t="shared" si="10"/>
        <v>様</v>
      </c>
      <c r="E70" s="142" t="str">
        <f>IF(_xlfn.XLOOKUP(ROW(E70)-ROW(E$68),報告用!$AM$44:$AM$87,報告用!$E$44:$E$87,"",FALSE)=B70,"",_xlfn.XLOOKUP(ROW(E70)-ROW(E$68),報告用!$AM$44:$AM$87,報告用!$E$44:$E$87,"",FALSE))</f>
        <v/>
      </c>
      <c r="G70" s="249"/>
      <c r="H70" s="141">
        <f>_xlfn.XLOOKUP(ROW(H70)-ROW(H$68),報告用!$AN$44:$AN$87,報告用!$F$44:$F$87,"",FALSE)</f>
        <v>23</v>
      </c>
      <c r="I70" s="54" t="str">
        <f>_xlfn.XLOOKUP(ROW(I70)-ROW(I$68),報告用!$AN$44:$AN$87,報告用!$G$44:$G$87,"",FALSE)</f>
        <v>遠山　貞一</v>
      </c>
      <c r="J70" s="102" t="str">
        <f t="shared" si="11"/>
        <v>様</v>
      </c>
      <c r="K70" s="142" t="str">
        <f>IF(_xlfn.XLOOKUP(ROW(K70)-ROW(K$68),報告用!$AN$44:$AN$87,報告用!$E$44:$E$87,"",FALSE)=H70,"",_xlfn.XLOOKUP(ROW(K70)-ROW(K$68),報告用!$AN$44:$AN$87,報告用!$E$44:$E$87,"",FALSE))</f>
        <v/>
      </c>
      <c r="L70" s="77"/>
      <c r="M70" s="249"/>
      <c r="N70" s="141">
        <f>_xlfn.XLOOKUP(ROW(N70)-ROW(N$68),報告用!$AO$44:$AO$87,報告用!$F$44:$F$87,"",FALSE)</f>
        <v>23</v>
      </c>
      <c r="O70" s="54" t="str">
        <f>_xlfn.XLOOKUP(ROW(O70)-ROW(O$68),報告用!$AO$44:$AO$87,報告用!$G$44:$G$87,"",FALSE)</f>
        <v>遠山　貞一</v>
      </c>
      <c r="P70" s="102" t="str">
        <f t="shared" si="12"/>
        <v>様</v>
      </c>
      <c r="Q70" s="47" t="str">
        <f>IF(_xlfn.XLOOKUP(ROW(Q70)-ROW(Q$68),報告用!$AO$44:$AO$87,報告用!$E$44:$E$87,"",FALSE)=N70,"",_xlfn.XLOOKUP(ROW(Q70)-ROW(Q$68),報告用!$AO$44:$AO$87,報告用!$E$44:$E$87,"",FALSE))</f>
        <v/>
      </c>
    </row>
    <row r="71" spans="1:17" ht="27" customHeight="1">
      <c r="A71" s="249"/>
      <c r="B71" s="141">
        <f>_xlfn.XLOOKUP(ROW(B71)-ROW(B$68),報告用!$AM$44:$AM$87,報告用!$F$44:$F$87,"",FALSE)</f>
        <v>25</v>
      </c>
      <c r="C71" s="54" t="str">
        <f>_xlfn.XLOOKUP(ROW(C71)-ROW(C$68),報告用!$AM$44:$AM$87,報告用!$G$44:$G$87,"",FALSE)</f>
        <v>千野　周恵</v>
      </c>
      <c r="D71" s="102" t="str">
        <f t="shared" si="10"/>
        <v>様</v>
      </c>
      <c r="E71" s="47" t="str">
        <f>IF(_xlfn.XLOOKUP(ROW(E71)-ROW(E$68),報告用!$AM$44:$AM$87,報告用!$E$44:$E$87,"",FALSE)=B71,"",_xlfn.XLOOKUP(ROW(E71)-ROW(E$68),報告用!$AM$44:$AM$87,報告用!$E$44:$E$87,"",FALSE))</f>
        <v/>
      </c>
      <c r="G71" s="249"/>
      <c r="H71" s="141">
        <f>_xlfn.XLOOKUP(ROW(H71)-ROW(H$68),報告用!$AN$44:$AN$87,報告用!$F$44:$F$87,"",FALSE)</f>
        <v>25</v>
      </c>
      <c r="I71" s="54" t="str">
        <f>_xlfn.XLOOKUP(ROW(I71)-ROW(I$68),報告用!$AN$44:$AN$87,報告用!$G$44:$G$87,"",FALSE)</f>
        <v>千野　周恵</v>
      </c>
      <c r="J71" s="102" t="str">
        <f t="shared" si="11"/>
        <v>様</v>
      </c>
      <c r="K71" s="47" t="str">
        <f>IF(_xlfn.XLOOKUP(ROW(K71)-ROW(K$68),報告用!$AN$44:$AN$87,報告用!$E$44:$E$87,"",FALSE)=H71,"",_xlfn.XLOOKUP(ROW(K71)-ROW(K$68),報告用!$AN$44:$AN$87,報告用!$E$44:$E$87,"",FALSE))</f>
        <v/>
      </c>
      <c r="L71" s="77"/>
      <c r="M71" s="249"/>
      <c r="N71" s="141">
        <f>_xlfn.XLOOKUP(ROW(N71)-ROW(N$68),報告用!$AO$44:$AO$87,報告用!$F$44:$F$87,"",FALSE)</f>
        <v>25</v>
      </c>
      <c r="O71" s="54" t="str">
        <f>_xlfn.XLOOKUP(ROW(O71)-ROW(O$68),報告用!$AO$44:$AO$87,報告用!$G$44:$G$87,"",FALSE)</f>
        <v>千野　周恵</v>
      </c>
      <c r="P71" s="102" t="str">
        <f t="shared" si="12"/>
        <v>様</v>
      </c>
      <c r="Q71" s="142" t="str">
        <f>IF(_xlfn.XLOOKUP(ROW(Q71)-ROW(Q$68),報告用!$AO$44:$AO$87,報告用!$E$44:$E$87,"",FALSE)=N71,"",_xlfn.XLOOKUP(ROW(Q71)-ROW(Q$68),報告用!$AO$44:$AO$87,報告用!$E$44:$E$87,"",FALSE))</f>
        <v/>
      </c>
    </row>
    <row r="72" spans="1:17" ht="27" customHeight="1">
      <c r="A72" s="249"/>
      <c r="B72" s="141">
        <f>_xlfn.XLOOKUP(ROW(B72)-ROW(B$68),報告用!$AM$44:$AM$87,報告用!$F$44:$F$87,"",FALSE)</f>
        <v>25</v>
      </c>
      <c r="C72" s="54" t="str">
        <f>_xlfn.XLOOKUP(ROW(C72)-ROW(C$68),報告用!$AM$44:$AM$87,報告用!$G$44:$G$87,"",FALSE)</f>
        <v>鈴木　賢浄</v>
      </c>
      <c r="D72" s="102" t="str">
        <f t="shared" si="10"/>
        <v>様</v>
      </c>
      <c r="E72" s="142" t="str">
        <f>IF(_xlfn.XLOOKUP(ROW(E72)-ROW(E$68),報告用!$AM$44:$AM$87,報告用!$E$44:$E$87,"",FALSE)=B72,"",_xlfn.XLOOKUP(ROW(E72)-ROW(E$68),報告用!$AM$44:$AM$87,報告用!$E$44:$E$87,"",FALSE))</f>
        <v/>
      </c>
      <c r="G72" s="249"/>
      <c r="H72" s="141">
        <f>_xlfn.XLOOKUP(ROW(H72)-ROW(H$68),報告用!$AN$44:$AN$87,報告用!$F$44:$F$87,"",FALSE)</f>
        <v>25</v>
      </c>
      <c r="I72" s="54" t="str">
        <f>_xlfn.XLOOKUP(ROW(I72)-ROW(I$68),報告用!$AN$44:$AN$87,報告用!$G$44:$G$87,"",FALSE)</f>
        <v>鈴木　賢浄</v>
      </c>
      <c r="J72" s="102" t="str">
        <f t="shared" si="11"/>
        <v>様</v>
      </c>
      <c r="K72" s="142" t="str">
        <f>IF(_xlfn.XLOOKUP(ROW(K72)-ROW(K$68),報告用!$AN$44:$AN$87,報告用!$E$44:$E$87,"",FALSE)=H72,"",_xlfn.XLOOKUP(ROW(K72)-ROW(K$68),報告用!$AN$44:$AN$87,報告用!$E$44:$E$87,"",FALSE))</f>
        <v/>
      </c>
      <c r="L72" s="77"/>
      <c r="M72" s="249"/>
      <c r="N72" s="141">
        <f>_xlfn.XLOOKUP(ROW(N72)-ROW(N$68),報告用!$AO$44:$AO$87,報告用!$F$44:$F$87,"",FALSE)</f>
        <v>25</v>
      </c>
      <c r="O72" s="54" t="str">
        <f>_xlfn.XLOOKUP(ROW(O72)-ROW(O$68),報告用!$AO$44:$AO$87,報告用!$G$44:$G$87,"",FALSE)</f>
        <v>鈴木　賢浄</v>
      </c>
      <c r="P72" s="102" t="str">
        <f t="shared" si="12"/>
        <v>様</v>
      </c>
      <c r="Q72" s="142" t="str">
        <f>IF(_xlfn.XLOOKUP(ROW(Q72)-ROW(Q$68),報告用!$AO$44:$AO$87,報告用!$E$44:$E$87,"",FALSE)=N72,"",_xlfn.XLOOKUP(ROW(Q72)-ROW(Q$68),報告用!$AO$44:$AO$87,報告用!$E$44:$E$87,"",FALSE))</f>
        <v/>
      </c>
    </row>
    <row r="73" spans="1:17" ht="27" customHeight="1">
      <c r="A73" s="249"/>
      <c r="B73" s="141">
        <f>_xlfn.XLOOKUP(ROW(B73)-ROW(B$68),報告用!$AM$44:$AM$87,報告用!$F$44:$F$87,"",FALSE)</f>
        <v>25</v>
      </c>
      <c r="C73" s="54" t="str">
        <f>_xlfn.XLOOKUP(ROW(C73)-ROW(C$68),報告用!$AM$44:$AM$87,報告用!$G$44:$G$87,"",FALSE)</f>
        <v>渡邉　和洋</v>
      </c>
      <c r="D73" s="104" t="str">
        <f t="shared" si="10"/>
        <v>様</v>
      </c>
      <c r="E73" s="142" t="str">
        <f>IF(_xlfn.XLOOKUP(ROW(E73)-ROW(E$68),報告用!$AM$44:$AM$87,報告用!$E$44:$E$87,"",FALSE)=B73,"",_xlfn.XLOOKUP(ROW(E73)-ROW(E$68),報告用!$AM$44:$AM$87,報告用!$E$44:$E$87,"",FALSE))</f>
        <v/>
      </c>
      <c r="G73" s="249"/>
      <c r="H73" s="141">
        <f>_xlfn.XLOOKUP(ROW(H73)-ROW(H$68),報告用!$AN$44:$AN$87,報告用!$F$44:$F$87,"",FALSE)</f>
        <v>25</v>
      </c>
      <c r="I73" s="54" t="str">
        <f>_xlfn.XLOOKUP(ROW(I73)-ROW(I$68),報告用!$AN$44:$AN$87,報告用!$G$44:$G$87,"",FALSE)</f>
        <v>渡邉　和洋</v>
      </c>
      <c r="J73" s="102" t="str">
        <f t="shared" si="11"/>
        <v>様</v>
      </c>
      <c r="K73" s="142" t="str">
        <f>IF(_xlfn.XLOOKUP(ROW(K73)-ROW(K$68),報告用!$AN$44:$AN$87,報告用!$E$44:$E$87,"",FALSE)=H73,"",_xlfn.XLOOKUP(ROW(K73)-ROW(K$68),報告用!$AN$44:$AN$87,報告用!$E$44:$E$87,"",FALSE))</f>
        <v/>
      </c>
      <c r="L73" s="77"/>
      <c r="M73" s="249"/>
      <c r="N73" s="141">
        <f>_xlfn.XLOOKUP(ROW(N73)-ROW(N$68),報告用!$AO$44:$AO$87,報告用!$F$44:$F$87,"",FALSE)</f>
        <v>25</v>
      </c>
      <c r="O73" s="54" t="str">
        <f>_xlfn.XLOOKUP(ROW(O73)-ROW(O$68),報告用!$AO$44:$AO$87,報告用!$G$44:$G$87,"",FALSE)</f>
        <v>渡邉　和洋</v>
      </c>
      <c r="P73" s="102" t="str">
        <f t="shared" si="12"/>
        <v>様</v>
      </c>
      <c r="Q73" s="142" t="str">
        <f>IF(_xlfn.XLOOKUP(ROW(Q73)-ROW(Q$68),報告用!$AO$44:$AO$87,報告用!$E$44:$E$87,"",FALSE)=N73,"",_xlfn.XLOOKUP(ROW(Q73)-ROW(Q$68),報告用!$AO$44:$AO$87,報告用!$E$44:$E$87,"",FALSE))</f>
        <v/>
      </c>
    </row>
    <row r="74" spans="1:17" ht="27" customHeight="1">
      <c r="A74" s="249"/>
      <c r="B74" s="141">
        <f>_xlfn.XLOOKUP(ROW(B74)-ROW(B$68),報告用!$AM$44:$AM$87,報告用!$F$44:$F$87,"",FALSE)</f>
        <v>25</v>
      </c>
      <c r="C74" s="54" t="str">
        <f>_xlfn.XLOOKUP(ROW(C74)-ROW(C$68),報告用!$AM$44:$AM$87,報告用!$G$44:$G$87,"",FALSE)</f>
        <v>内藤　範治</v>
      </c>
      <c r="D74" s="102" t="str">
        <f t="shared" si="10"/>
        <v>様</v>
      </c>
      <c r="E74" s="142">
        <f>IF(_xlfn.XLOOKUP(ROW(E74)-ROW(E$68),報告用!$AM$44:$AM$87,報告用!$E$44:$E$87,"",FALSE)=B74,"",_xlfn.XLOOKUP(ROW(E74)-ROW(E$68),報告用!$AM$44:$AM$87,報告用!$E$44:$E$87,"",FALSE))</f>
        <v>2</v>
      </c>
      <c r="G74" s="249"/>
      <c r="H74" s="141">
        <f>_xlfn.XLOOKUP(ROW(H74)-ROW(H$68),報告用!$AN$44:$AN$87,報告用!$F$44:$F$87,"",FALSE)</f>
        <v>25</v>
      </c>
      <c r="I74" s="54" t="str">
        <f>_xlfn.XLOOKUP(ROW(I74)-ROW(I$68),報告用!$AN$44:$AN$87,報告用!$G$44:$G$87,"",FALSE)</f>
        <v>内藤　範治</v>
      </c>
      <c r="J74" s="102" t="str">
        <f t="shared" si="11"/>
        <v>様</v>
      </c>
      <c r="K74" s="142">
        <f>IF(_xlfn.XLOOKUP(ROW(K74)-ROW(K$68),報告用!$AN$44:$AN$87,報告用!$E$44:$E$87,"",FALSE)=H74,"",_xlfn.XLOOKUP(ROW(K74)-ROW(K$68),報告用!$AN$44:$AN$87,報告用!$E$44:$E$87,"",FALSE))</f>
        <v>2</v>
      </c>
      <c r="L74" s="77"/>
      <c r="M74" s="249"/>
      <c r="N74" s="141">
        <f>_xlfn.XLOOKUP(ROW(N74)-ROW(N$68),報告用!$AO$44:$AO$87,報告用!$F$44:$F$87,"",FALSE)</f>
        <v>25</v>
      </c>
      <c r="O74" s="54" t="str">
        <f>_xlfn.XLOOKUP(ROW(O74)-ROW(O$68),報告用!$AO$44:$AO$87,報告用!$G$44:$G$87,"",FALSE)</f>
        <v>内藤　範治</v>
      </c>
      <c r="P74" s="102" t="str">
        <f t="shared" si="12"/>
        <v>様</v>
      </c>
      <c r="Q74" s="142">
        <f>IF(_xlfn.XLOOKUP(ROW(Q74)-ROW(Q$68),報告用!$AO$44:$AO$87,報告用!$E$44:$E$87,"",FALSE)=N74,"",_xlfn.XLOOKUP(ROW(Q74)-ROW(Q$68),報告用!$AO$44:$AO$87,報告用!$E$44:$E$87,"",FALSE))</f>
        <v>2</v>
      </c>
    </row>
    <row r="75" spans="1:17" ht="27" customHeight="1">
      <c r="A75" s="249"/>
      <c r="B75" s="141">
        <f>_xlfn.XLOOKUP(ROW(B75)-ROW(B$68),報告用!$AM$44:$AM$87,報告用!$F$44:$F$87,"",FALSE)</f>
        <v>1</v>
      </c>
      <c r="C75" s="54" t="str">
        <f>_xlfn.XLOOKUP(ROW(C75)-ROW(C$68),報告用!$AM$44:$AM$87,報告用!$G$44:$G$87,"",FALSE)</f>
        <v>笹本　定子</v>
      </c>
      <c r="D75" s="102" t="str">
        <f t="shared" si="10"/>
        <v>様</v>
      </c>
      <c r="E75" s="142" t="str">
        <f>IF(_xlfn.XLOOKUP(ROW(E75)-ROW(E$68),報告用!$AM$44:$AM$87,報告用!$E$44:$E$87,"",FALSE)=B75,"",_xlfn.XLOOKUP(ROW(E75)-ROW(E$68),報告用!$AM$44:$AM$87,報告用!$E$44:$E$87,"",FALSE))</f>
        <v/>
      </c>
      <c r="G75" s="249"/>
      <c r="H75" s="141">
        <f>_xlfn.XLOOKUP(ROW(H75)-ROW(H$68),報告用!$AN$44:$AN$87,報告用!$F$44:$F$87,"",FALSE)</f>
        <v>1</v>
      </c>
      <c r="I75" s="54" t="str">
        <f>_xlfn.XLOOKUP(ROW(I75)-ROW(I$68),報告用!$AN$44:$AN$87,報告用!$G$44:$G$87,"",FALSE)</f>
        <v>太田　恵須子</v>
      </c>
      <c r="J75" s="102" t="str">
        <f t="shared" si="11"/>
        <v>様</v>
      </c>
      <c r="K75" s="142" t="str">
        <f>IF(_xlfn.XLOOKUP(ROW(K75)-ROW(K$68),報告用!$AN$44:$AN$87,報告用!$E$44:$E$87,"",FALSE)=H75,"",_xlfn.XLOOKUP(ROW(K75)-ROW(K$68),報告用!$AN$44:$AN$87,報告用!$E$44:$E$87,"",FALSE))</f>
        <v/>
      </c>
      <c r="L75" s="77"/>
      <c r="M75" s="249"/>
      <c r="N75" s="141">
        <f>_xlfn.XLOOKUP(ROW(N75)-ROW(N$68),報告用!$AO$44:$AO$87,報告用!$F$44:$F$87,"",FALSE)</f>
        <v>1</v>
      </c>
      <c r="O75" s="54" t="str">
        <f>_xlfn.XLOOKUP(ROW(O75)-ROW(O$68),報告用!$AO$44:$AO$87,報告用!$G$44:$G$87,"",FALSE)</f>
        <v>笹本　定子</v>
      </c>
      <c r="P75" s="102" t="str">
        <f t="shared" si="12"/>
        <v>様</v>
      </c>
      <c r="Q75" s="142" t="str">
        <f>IF(_xlfn.XLOOKUP(ROW(Q75)-ROW(Q$68),報告用!$AO$44:$AO$87,報告用!$E$44:$E$87,"",FALSE)=N75,"",_xlfn.XLOOKUP(ROW(Q75)-ROW(Q$68),報告用!$AO$44:$AO$87,報告用!$E$44:$E$87,"",FALSE))</f>
        <v/>
      </c>
    </row>
    <row r="76" spans="1:17" ht="27" customHeight="1">
      <c r="A76" s="249"/>
      <c r="B76" s="141">
        <f>_xlfn.XLOOKUP(ROW(B76)-ROW(B$68),報告用!$AM$44:$AM$87,報告用!$F$44:$F$87,"",FALSE)</f>
        <v>3</v>
      </c>
      <c r="C76" s="54" t="str">
        <f>_xlfn.XLOOKUP(ROW(C76)-ROW(C$68),報告用!$AM$44:$AM$87,報告用!$G$44:$G$87,"",FALSE)</f>
        <v>大森　俊子</v>
      </c>
      <c r="D76" s="102" t="str">
        <f t="shared" si="10"/>
        <v>様</v>
      </c>
      <c r="E76" s="47" t="str">
        <f>IF(_xlfn.XLOOKUP(ROW(E76)-ROW(E$68),報告用!$AM$44:$AM$87,報告用!$E$44:$E$87,"",FALSE)=B76,"",_xlfn.XLOOKUP(ROW(E76)-ROW(E$68),報告用!$AM$44:$AM$87,報告用!$E$44:$E$87,"",FALSE))</f>
        <v/>
      </c>
      <c r="G76" s="249"/>
      <c r="H76" s="141">
        <f>_xlfn.XLOOKUP(ROW(H76)-ROW(H$68),報告用!$AN$44:$AN$87,報告用!$F$44:$F$87,"",FALSE)</f>
        <v>1</v>
      </c>
      <c r="I76" s="54" t="str">
        <f>_xlfn.XLOOKUP(ROW(I76)-ROW(I$68),報告用!$AN$44:$AN$87,報告用!$G$44:$G$87,"",FALSE)</f>
        <v>笹本　定子</v>
      </c>
      <c r="J76" s="102" t="str">
        <f t="shared" si="11"/>
        <v>様</v>
      </c>
      <c r="K76" s="142" t="str">
        <f>IF(_xlfn.XLOOKUP(ROW(K76)-ROW(K$68),報告用!$AN$44:$AN$87,報告用!$E$44:$E$87,"",FALSE)=H76,"",_xlfn.XLOOKUP(ROW(K76)-ROW(K$68),報告用!$AN$44:$AN$87,報告用!$E$44:$E$87,"",FALSE))</f>
        <v/>
      </c>
      <c r="L76" s="77"/>
      <c r="M76" s="249"/>
      <c r="N76" s="141">
        <f>_xlfn.XLOOKUP(ROW(N76)-ROW(N$68),報告用!$AO$44:$AO$87,報告用!$F$44:$F$87,"",FALSE)</f>
        <v>3</v>
      </c>
      <c r="O76" s="54" t="str">
        <f>_xlfn.XLOOKUP(ROW(O76)-ROW(O$68),報告用!$AO$44:$AO$87,報告用!$G$44:$G$87,"",FALSE)</f>
        <v>大森　俊子</v>
      </c>
      <c r="P76" s="102" t="str">
        <f t="shared" si="12"/>
        <v>様</v>
      </c>
      <c r="Q76" s="47" t="str">
        <f>IF(_xlfn.XLOOKUP(ROW(Q76)-ROW(Q$68),報告用!$AO$44:$AO$87,報告用!$E$44:$E$87,"",FALSE)=N76,"",_xlfn.XLOOKUP(ROW(Q76)-ROW(Q$68),報告用!$AO$44:$AO$87,報告用!$E$44:$E$87,"",FALSE))</f>
        <v/>
      </c>
    </row>
    <row r="77" spans="1:17" ht="27" customHeight="1">
      <c r="A77" s="249"/>
      <c r="B77" s="141">
        <f>_xlfn.XLOOKUP(ROW(B77)-ROW(B$68),報告用!$AM$44:$AM$87,報告用!$F$44:$F$87,"",FALSE)</f>
        <v>5</v>
      </c>
      <c r="C77" s="54" t="str">
        <f>_xlfn.XLOOKUP(ROW(C77)-ROW(C$68),報告用!$AM$44:$AM$87,報告用!$G$44:$G$87,"",FALSE)</f>
        <v>高田 保英</v>
      </c>
      <c r="D77" s="102" t="str">
        <f t="shared" si="10"/>
        <v>様</v>
      </c>
      <c r="E77" s="142">
        <f>IF(_xlfn.XLOOKUP(ROW(E77)-ROW(E$68),報告用!$AM$44:$AM$87,報告用!$E$44:$E$87,"",FALSE)=B77,"",_xlfn.XLOOKUP(ROW(E77)-ROW(E$68),報告用!$AM$44:$AM$87,報告用!$E$44:$E$87,"",FALSE))</f>
        <v>25</v>
      </c>
      <c r="G77" s="249"/>
      <c r="H77" s="141">
        <f>_xlfn.XLOOKUP(ROW(H77)-ROW(H$68),報告用!$AN$44:$AN$87,報告用!$F$44:$F$87,"",FALSE)</f>
        <v>5</v>
      </c>
      <c r="I77" s="54" t="str">
        <f>_xlfn.XLOOKUP(ROW(I77)-ROW(I$68),報告用!$AN$44:$AN$87,報告用!$G$44:$G$87,"",FALSE)</f>
        <v>高田 保英</v>
      </c>
      <c r="J77" s="102" t="str">
        <f t="shared" si="11"/>
        <v>様</v>
      </c>
      <c r="K77" s="142">
        <f>IF(_xlfn.XLOOKUP(ROW(K77)-ROW(K$68),報告用!$AN$44:$AN$87,報告用!$E$44:$E$87,"",FALSE)=H77,"",_xlfn.XLOOKUP(ROW(K77)-ROW(K$68),報告用!$AN$44:$AN$87,報告用!$E$44:$E$87,"",FALSE))</f>
        <v>25</v>
      </c>
      <c r="L77" s="77"/>
      <c r="M77" s="249"/>
      <c r="N77" s="141">
        <f>_xlfn.XLOOKUP(ROW(N77)-ROW(N$68),報告用!$AO$44:$AO$87,報告用!$F$44:$F$87,"",FALSE)</f>
        <v>5</v>
      </c>
      <c r="O77" s="54" t="str">
        <f>_xlfn.XLOOKUP(ROW(O77)-ROW(O$68),報告用!$AO$44:$AO$87,報告用!$G$44:$G$87,"",FALSE)</f>
        <v>高田 保英</v>
      </c>
      <c r="P77" s="102" t="str">
        <f t="shared" si="12"/>
        <v>様</v>
      </c>
      <c r="Q77" s="142">
        <f>IF(_xlfn.XLOOKUP(ROW(Q77)-ROW(Q$68),報告用!$AO$44:$AO$87,報告用!$E$44:$E$87,"",FALSE)=N77,"",_xlfn.XLOOKUP(ROW(Q77)-ROW(Q$68),報告用!$AO$44:$AO$87,報告用!$E$44:$E$87,"",FALSE))</f>
        <v>25</v>
      </c>
    </row>
    <row r="78" spans="1:17" ht="27" customHeight="1">
      <c r="A78" s="249"/>
      <c r="B78" s="141">
        <f>_xlfn.XLOOKUP(ROW(B78)-ROW(B$68),報告用!$AM$44:$AM$87,報告用!$F$44:$F$87,"",FALSE)</f>
        <v>6</v>
      </c>
      <c r="C78" s="54" t="str">
        <f>_xlfn.XLOOKUP(ROW(C78)-ROW(C$68),報告用!$AM$44:$AM$87,報告用!$G$44:$G$87,"",FALSE)</f>
        <v>フジイロザスミコ</v>
      </c>
      <c r="D78" s="102" t="str">
        <f t="shared" si="10"/>
        <v>様</v>
      </c>
      <c r="E78" s="47" t="str">
        <f>IF(_xlfn.XLOOKUP(ROW(E78)-ROW(E$68),報告用!$AM$44:$AM$87,報告用!$E$44:$E$87,"",FALSE)=B78,"",_xlfn.XLOOKUP(ROW(E78)-ROW(E$68),報告用!$AM$44:$AM$87,報告用!$E$44:$E$87,"",FALSE))</f>
        <v/>
      </c>
      <c r="G78" s="249"/>
      <c r="H78" s="141">
        <f>_xlfn.XLOOKUP(ROW(H78)-ROW(H$68),報告用!$AN$44:$AN$87,報告用!$F$44:$F$87,"",FALSE)</f>
        <v>6</v>
      </c>
      <c r="I78" s="54" t="str">
        <f>_xlfn.XLOOKUP(ROW(I78)-ROW(I$68),報告用!$AN$44:$AN$87,報告用!$G$44:$G$87,"",FALSE)</f>
        <v>フジイロザスミコ</v>
      </c>
      <c r="J78" s="102" t="str">
        <f t="shared" si="11"/>
        <v>様</v>
      </c>
      <c r="K78" s="47" t="str">
        <f>IF(_xlfn.XLOOKUP(ROW(K78)-ROW(K$68),報告用!$AN$44:$AN$87,報告用!$E$44:$E$87,"",FALSE)=H78,"",_xlfn.XLOOKUP(ROW(K78)-ROW(K$68),報告用!$AN$44:$AN$87,報告用!$E$44:$E$87,"",FALSE))</f>
        <v/>
      </c>
      <c r="L78" s="77"/>
      <c r="M78" s="249"/>
      <c r="N78" s="141">
        <f>_xlfn.XLOOKUP(ROW(N78)-ROW(N$68),報告用!$AO$44:$AO$87,報告用!$F$44:$F$87,"",FALSE)</f>
        <v>6</v>
      </c>
      <c r="O78" s="54" t="str">
        <f>_xlfn.XLOOKUP(ROW(O78)-ROW(O$68),報告用!$AO$44:$AO$87,報告用!$G$44:$G$87,"",FALSE)</f>
        <v>フジイロザスミコ</v>
      </c>
      <c r="P78" s="102" t="str">
        <f t="shared" si="12"/>
        <v>様</v>
      </c>
      <c r="Q78" s="142" t="str">
        <f>IF(_xlfn.XLOOKUP(ROW(Q78)-ROW(Q$68),報告用!$AO$44:$AO$87,報告用!$E$44:$E$87,"",FALSE)=N78,"",_xlfn.XLOOKUP(ROW(Q78)-ROW(Q$68),報告用!$AO$44:$AO$87,報告用!$E$44:$E$87,"",FALSE))</f>
        <v/>
      </c>
    </row>
    <row r="79" spans="1:17" ht="27" customHeight="1">
      <c r="A79" s="249"/>
      <c r="B79" s="46">
        <f>_xlfn.XLOOKUP(ROW(B79)-ROW(B$68),報告用!$AM$44:$AM$87,報告用!$F$44:$F$87,"",FALSE)</f>
        <v>6</v>
      </c>
      <c r="C79" s="54" t="str">
        <f>_xlfn.XLOOKUP(ROW(C79)-ROW(C$68),報告用!$AM$44:$AM$87,報告用!$G$44:$G$87,"",FALSE)</f>
        <v>一瀨　好恵</v>
      </c>
      <c r="D79" s="102" t="str">
        <f t="shared" si="10"/>
        <v>様</v>
      </c>
      <c r="E79" s="47">
        <f>IF(_xlfn.XLOOKUP(ROW(E79)-ROW(E$68),報告用!$AM$44:$AM$87,報告用!$E$44:$E$87,"",FALSE)=B79,"",_xlfn.XLOOKUP(ROW(E79)-ROW(E$68),報告用!$AM$44:$AM$87,報告用!$E$44:$E$87,"",FALSE))</f>
        <v>5</v>
      </c>
      <c r="G79" s="249"/>
      <c r="H79" s="46">
        <f>_xlfn.XLOOKUP(ROW(H79)-ROW(H$68),報告用!$AN$44:$AN$87,報告用!$F$44:$F$87,"",FALSE)</f>
        <v>6</v>
      </c>
      <c r="I79" s="54" t="str">
        <f>_xlfn.XLOOKUP(ROW(I79)-ROW(I$68),報告用!$AN$44:$AN$87,報告用!$G$44:$G$87,"",FALSE)</f>
        <v>一瀨　好恵</v>
      </c>
      <c r="J79" s="102" t="str">
        <f t="shared" si="11"/>
        <v>様</v>
      </c>
      <c r="K79" s="47">
        <f>IF(_xlfn.XLOOKUP(ROW(K79)-ROW(K$68),報告用!$AN$44:$AN$87,報告用!$E$44:$E$87,"",FALSE)=H79,"",_xlfn.XLOOKUP(ROW(K79)-ROW(K$68),報告用!$AN$44:$AN$87,報告用!$E$44:$E$87,"",FALSE))</f>
        <v>5</v>
      </c>
      <c r="L79" s="77"/>
      <c r="M79" s="249"/>
      <c r="N79" s="141">
        <f>_xlfn.XLOOKUP(ROW(N79)-ROW(N$68),報告用!$AO$44:$AO$87,報告用!$F$44:$F$87,"",FALSE)</f>
        <v>6</v>
      </c>
      <c r="O79" s="54" t="str">
        <f>_xlfn.XLOOKUP(ROW(O79)-ROW(O$68),報告用!$AO$44:$AO$87,報告用!$G$44:$G$87,"",FALSE)</f>
        <v>一瀨　好恵</v>
      </c>
      <c r="P79" s="102" t="str">
        <f t="shared" si="12"/>
        <v>様</v>
      </c>
      <c r="Q79" s="47">
        <f>IF(_xlfn.XLOOKUP(ROW(Q79)-ROW(Q$68),報告用!$AO$44:$AO$87,報告用!$E$44:$E$87,"",FALSE)=N79,"",_xlfn.XLOOKUP(ROW(Q79)-ROW(Q$68),報告用!$AO$44:$AO$87,報告用!$E$44:$E$87,"",FALSE))</f>
        <v>5</v>
      </c>
    </row>
    <row r="80" spans="1:17" ht="27" customHeight="1" thickBot="1">
      <c r="A80" s="250"/>
      <c r="B80" s="56">
        <f>_xlfn.XLOOKUP(ROW(B80)-ROW(B$68),報告用!$AM$44:$AM$87,報告用!$F$44:$F$87,"",FALSE)</f>
        <v>7</v>
      </c>
      <c r="C80" s="64" t="str">
        <f>_xlfn.XLOOKUP(ROW(C80)-ROW(C$68),報告用!$AM$44:$AM$87,報告用!$G$44:$G$87,"",FALSE)</f>
        <v>佐藤　光正</v>
      </c>
      <c r="D80" s="106" t="str">
        <f t="shared" si="10"/>
        <v>様</v>
      </c>
      <c r="E80" s="57" t="str">
        <f>IF(_xlfn.XLOOKUP(ROW(E80)-ROW(E$68),報告用!$AM$44:$AM$87,報告用!$E$44:$E$87,"",FALSE)=B80,"",_xlfn.XLOOKUP(ROW(E80)-ROW(E$68),報告用!$AM$44:$AM$87,報告用!$E$44:$E$87,"",FALSE))</f>
        <v/>
      </c>
      <c r="G80" s="250"/>
      <c r="H80" s="56">
        <f>_xlfn.XLOOKUP(ROW(H80)-ROW(H$68),報告用!$AN$44:$AN$87,報告用!$F$44:$F$87,"",FALSE)</f>
        <v>7</v>
      </c>
      <c r="I80" s="64" t="str">
        <f>_xlfn.XLOOKUP(ROW(I80)-ROW(I$68),報告用!$AN$44:$AN$87,報告用!$G$44:$G$87,"",FALSE)</f>
        <v>佐藤　光正</v>
      </c>
      <c r="J80" s="106" t="str">
        <f t="shared" si="11"/>
        <v>様</v>
      </c>
      <c r="K80" s="57" t="str">
        <f>IF(_xlfn.XLOOKUP(ROW(K80)-ROW(K$68),報告用!$AN$44:$AN$87,報告用!$E$44:$E$87,"",FALSE)=H80,"",_xlfn.XLOOKUP(ROW(K80)-ROW(K$68),報告用!$AN$44:$AN$87,報告用!$E$44:$E$87,"",FALSE))</f>
        <v/>
      </c>
      <c r="L80" s="77"/>
      <c r="M80" s="250"/>
      <c r="N80" s="56">
        <f>_xlfn.XLOOKUP(ROW(N80)-ROW(N$68),報告用!$AO$44:$AO$87,報告用!$F$44:$F$87,"",FALSE)</f>
        <v>7</v>
      </c>
      <c r="O80" s="64" t="str">
        <f>_xlfn.XLOOKUP(ROW(O80)-ROW(O$68),報告用!$AO$44:$AO$87,報告用!$G$44:$G$87,"",FALSE)</f>
        <v>佐藤　光正</v>
      </c>
      <c r="P80" s="106" t="str">
        <f t="shared" si="12"/>
        <v>様</v>
      </c>
      <c r="Q80" s="57" t="str">
        <f>IF(_xlfn.XLOOKUP(ROW(Q80)-ROW(Q$68),報告用!$AO$44:$AO$87,報告用!$E$44:$E$87,"",FALSE)=N80,"",_xlfn.XLOOKUP(ROW(Q80)-ROW(Q$68),報告用!$AO$44:$AO$87,報告用!$E$44:$E$87,"",FALSE))</f>
        <v/>
      </c>
    </row>
  </sheetData>
  <sheetProtection sheet="1" objects="1" scenarios="1"/>
  <mergeCells count="72">
    <mergeCell ref="A29:A40"/>
    <mergeCell ref="B3:E3"/>
    <mergeCell ref="A3:A4"/>
    <mergeCell ref="A5:A12"/>
    <mergeCell ref="A13:A20"/>
    <mergeCell ref="A22:E22"/>
    <mergeCell ref="A25:A28"/>
    <mergeCell ref="C24:D24"/>
    <mergeCell ref="B23:E23"/>
    <mergeCell ref="A23:A24"/>
    <mergeCell ref="O4:P4"/>
    <mergeCell ref="O24:P24"/>
    <mergeCell ref="I24:J24"/>
    <mergeCell ref="N3:Q3"/>
    <mergeCell ref="H23:K23"/>
    <mergeCell ref="N23:Q23"/>
    <mergeCell ref="M3:M4"/>
    <mergeCell ref="M5:M8"/>
    <mergeCell ref="M9:M20"/>
    <mergeCell ref="M23:M24"/>
    <mergeCell ref="G1:K2"/>
    <mergeCell ref="A2:E2"/>
    <mergeCell ref="M2:Q2"/>
    <mergeCell ref="M29:M40"/>
    <mergeCell ref="G23:G24"/>
    <mergeCell ref="G25:G28"/>
    <mergeCell ref="G29:G40"/>
    <mergeCell ref="C4:D4"/>
    <mergeCell ref="I4:J4"/>
    <mergeCell ref="M25:M28"/>
    <mergeCell ref="G5:G8"/>
    <mergeCell ref="G9:G20"/>
    <mergeCell ref="G3:G4"/>
    <mergeCell ref="H3:K3"/>
    <mergeCell ref="G21:K22"/>
    <mergeCell ref="M22:Q22"/>
    <mergeCell ref="N43:Q43"/>
    <mergeCell ref="C44:D44"/>
    <mergeCell ref="I44:J44"/>
    <mergeCell ref="O44:P44"/>
    <mergeCell ref="G41:K42"/>
    <mergeCell ref="A42:E42"/>
    <mergeCell ref="M42:Q42"/>
    <mergeCell ref="A43:A44"/>
    <mergeCell ref="B43:E43"/>
    <mergeCell ref="G43:G44"/>
    <mergeCell ref="H43:K43"/>
    <mergeCell ref="M43:M44"/>
    <mergeCell ref="G45:G48"/>
    <mergeCell ref="M45:M48"/>
    <mergeCell ref="G49:G60"/>
    <mergeCell ref="M49:M60"/>
    <mergeCell ref="A55:A60"/>
    <mergeCell ref="A45:A54"/>
    <mergeCell ref="N63:Q63"/>
    <mergeCell ref="C64:D64"/>
    <mergeCell ref="I64:J64"/>
    <mergeCell ref="O64:P64"/>
    <mergeCell ref="G61:K62"/>
    <mergeCell ref="A62:E62"/>
    <mergeCell ref="M62:Q62"/>
    <mergeCell ref="A63:A64"/>
    <mergeCell ref="B63:E63"/>
    <mergeCell ref="G63:G64"/>
    <mergeCell ref="H63:K63"/>
    <mergeCell ref="M63:M64"/>
    <mergeCell ref="A65:A68"/>
    <mergeCell ref="G65:G68"/>
    <mergeCell ref="M65:M68"/>
    <mergeCell ref="A69:A80"/>
    <mergeCell ref="G69:G80"/>
    <mergeCell ref="M69:M80"/>
  </mergeCells>
  <phoneticPr fontId="1"/>
  <pageMargins left="0.23622047244094491" right="0.23622047244094491" top="0.35433070866141736" bottom="0.35433070866141736"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新バージョンについて</vt:lpstr>
      <vt:lpstr>緊急手入力用</vt:lpstr>
      <vt:lpstr>報告用</vt:lpstr>
      <vt:lpstr>Sheet1</vt:lpstr>
      <vt:lpstr>新A4乗車表</vt:lpstr>
      <vt:lpstr>手打ち用</vt:lpstr>
      <vt:lpstr>新A3乗車表</vt:lpstr>
      <vt:lpstr>旧乗車表</vt:lpstr>
      <vt:lpstr>報告用!Print_Area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JTWEB19</dc:creator>
  <cp:lastModifiedBy>2F介護医療院 医療法人慶友会城東病院</cp:lastModifiedBy>
  <cp:lastPrinted>2026-03-25T06:43:22Z</cp:lastPrinted>
  <dcterms:created xsi:type="dcterms:W3CDTF">2015-06-05T18:19:34Z</dcterms:created>
  <dcterms:modified xsi:type="dcterms:W3CDTF">2026-03-25T06:44:41Z</dcterms:modified>
</cp:coreProperties>
</file>